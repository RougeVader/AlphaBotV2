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Data" sheetId="1" state="visible" r:id="rId3"/>
    <sheet name="Summary Dashboard" sheetId="2" state="visible" r:id="rId4"/>
    <sheet name="Ongoing Tracker" sheetId="3" state="visible" r:id="rId5"/>
    <sheet name="Material &amp; Payment" sheetId="4" state="visible" r:id="rId6"/>
  </sheets>
  <definedNames>
    <definedName function="false" hidden="true" localSheetId="0" name="_xlnm._FilterDatabase" vbProcedure="false">'Master Data'!$A$2:$V$2</definedName>
    <definedName function="false" hidden="true" localSheetId="3" name="_xlnm._FilterDatabase" vbProcedure="false">'Material &amp; Payment'!$A$2:$J$2</definedName>
    <definedName function="false" hidden="true" localSheetId="2" name="_xlnm._FilterDatabase" vbProcedure="false">'Ongoing Tracker'!$A$2:$O$2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<sst xmlns="http://schemas.openxmlformats.org/spreadsheetml/2006/main" count="2182" uniqueCount="421">
  <si>
    <t xml:space="preserve">ADANI GREEN ENERGY LIMITED — Project Master Tracker</t>
  </si>
  <si>
    <t xml:space="preserve">Project ID</t>
  </si>
  <si>
    <t xml:space="preserve">Project Name</t>
  </si>
  <si>
    <t xml:space="preserve">Project Type</t>
  </si>
  <si>
    <t xml:space="preserve">Location</t>
  </si>
  <si>
    <t xml:space="preserve">State</t>
  </si>
  <si>
    <t xml:space="preserve">Capacity (MW)</t>
  </si>
  <si>
    <t xml:space="preserve">FY Year</t>
  </si>
  <si>
    <t xml:space="preserve">Category</t>
  </si>
  <si>
    <t xml:space="preserve">Budget Allocated (₹ Cr)</t>
  </si>
  <si>
    <t xml:space="preserve">Budget Used (₹ Cr)</t>
  </si>
  <si>
    <t xml:space="preserve">Budget Remaining (₹ Cr)</t>
  </si>
  <si>
    <t xml:space="preserve">Revenue Generated (₹ Cr)</t>
  </si>
  <si>
    <t xml:space="preserve">Scheduled Comm. Date</t>
  </si>
  <si>
    <t xml:space="preserve">Expected Comm. Date</t>
  </si>
  <si>
    <t xml:space="preserve">Actual Comm. Date</t>
  </si>
  <si>
    <t xml:space="preserve">Contractor Name</t>
  </si>
  <si>
    <t xml:space="preserve">Material (Module/Turbine)</t>
  </si>
  <si>
    <t xml:space="preserve">Material Status</t>
  </si>
  <si>
    <t xml:space="preserve">Contractor Payment Status</t>
  </si>
  <si>
    <t xml:space="preserve">Project Completion (%)</t>
  </si>
  <si>
    <t xml:space="preserve">Delay (Days)</t>
  </si>
  <si>
    <t xml:space="preserve">Remarks</t>
  </si>
  <si>
    <t xml:space="preserve">AGEL-S-001</t>
  </si>
  <si>
    <t xml:space="preserve">Tumkur Solar Phase 3 – 200MW</t>
  </si>
  <si>
    <t xml:space="preserve">Solar</t>
  </si>
  <si>
    <t xml:space="preserve">Tumkur</t>
  </si>
  <si>
    <t xml:space="preserve">Karnataka</t>
  </si>
  <si>
    <t xml:space="preserve">FY2023-24</t>
  </si>
  <si>
    <t xml:space="preserve">Commissioned</t>
  </si>
  <si>
    <t xml:space="preserve">12-Apr-2023</t>
  </si>
  <si>
    <t xml:space="preserve">—</t>
  </si>
  <si>
    <t xml:space="preserve">10-May-2023</t>
  </si>
  <si>
    <t xml:space="preserve">Goldi Solar Pvt Ltd</t>
  </si>
  <si>
    <t xml:space="preserve">JA Solar (545W DeepBlue)</t>
  </si>
  <si>
    <t xml:space="preserve">Fully Delivered</t>
  </si>
  <si>
    <t xml:space="preserve">Fully Paid</t>
  </si>
  <si>
    <t xml:space="preserve">On track</t>
  </si>
  <si>
    <t xml:space="preserve">AGEL-S-002</t>
  </si>
  <si>
    <t xml:space="preserve">Chitradurga Solar Park – 250MW</t>
  </si>
  <si>
    <t xml:space="preserve">Chitradurga</t>
  </si>
  <si>
    <t xml:space="preserve">FY2022-23</t>
  </si>
  <si>
    <t xml:space="preserve">18-Jul-2021</t>
  </si>
  <si>
    <t xml:space="preserve">29-Jul-2021</t>
  </si>
  <si>
    <t xml:space="preserve">Sterling and Wilson Pvt Ltd</t>
  </si>
  <si>
    <t xml:space="preserve">Jinko Solar (545W Tiger Neo)</t>
  </si>
  <si>
    <t xml:space="preserve">75% Paid – Balance on Completion</t>
  </si>
  <si>
    <t xml:space="preserve">AGEL-S-003</t>
  </si>
  <si>
    <t xml:space="preserve">Pokhran Solar Phase 2 – 100MW</t>
  </si>
  <si>
    <t xml:space="preserve">Pokhran</t>
  </si>
  <si>
    <t xml:space="preserve">Rajasthan</t>
  </si>
  <si>
    <t xml:space="preserve">FY2021-22</t>
  </si>
  <si>
    <t xml:space="preserve">05-Jun-2022</t>
  </si>
  <si>
    <t xml:space="preserve">24-Aug-2022</t>
  </si>
  <si>
    <t xml:space="preserve">Trina Solar (550W Vertex)</t>
  </si>
  <si>
    <t xml:space="preserve">AGEL-S-004</t>
  </si>
  <si>
    <t xml:space="preserve">Jodhpur Solar Phase 1 – 250MW</t>
  </si>
  <si>
    <t xml:space="preserve">Jodhpur</t>
  </si>
  <si>
    <t xml:space="preserve">14-Jan-2023</t>
  </si>
  <si>
    <t xml:space="preserve">18-Feb-2023</t>
  </si>
  <si>
    <t xml:space="preserve">KEC International</t>
  </si>
  <si>
    <t xml:space="preserve">LONGi Solar (555W Hi-MO6)</t>
  </si>
  <si>
    <t xml:space="preserve">AGEL-S-005</t>
  </si>
  <si>
    <t xml:space="preserve">Mundra Solar Phase 1 – 100MW</t>
  </si>
  <si>
    <t xml:space="preserve">Mundra</t>
  </si>
  <si>
    <t xml:space="preserve">Gujarat</t>
  </si>
  <si>
    <t xml:space="preserve">27-Apr-2022</t>
  </si>
  <si>
    <t xml:space="preserve">17-May-2022</t>
  </si>
  <si>
    <t xml:space="preserve">Vikram Solar Ltd</t>
  </si>
  <si>
    <t xml:space="preserve">Waaree Energies (550W Mono PERC)</t>
  </si>
  <si>
    <t xml:space="preserve">AGEL-S-006</t>
  </si>
  <si>
    <t xml:space="preserve">Patan Solar Phase 2 – 200MW</t>
  </si>
  <si>
    <t xml:space="preserve">Patan</t>
  </si>
  <si>
    <t xml:space="preserve">25-Jun-2022</t>
  </si>
  <si>
    <t xml:space="preserve">03-Jul-2022</t>
  </si>
  <si>
    <t xml:space="preserve">AGEL-S-007</t>
  </si>
  <si>
    <t xml:space="preserve">Osmanabad Solar Phase 3 – 400MW</t>
  </si>
  <si>
    <t xml:space="preserve">Osmanabad</t>
  </si>
  <si>
    <t xml:space="preserve">Maharashtra</t>
  </si>
  <si>
    <t xml:space="preserve">17-Sep-2021</t>
  </si>
  <si>
    <t xml:space="preserve">20-Oct-2021</t>
  </si>
  <si>
    <t xml:space="preserve">Genus Power Infrastructures</t>
  </si>
  <si>
    <t xml:space="preserve">Canadian Solar (550W HiKu7)</t>
  </si>
  <si>
    <t xml:space="preserve">AGEL-S-008</t>
  </si>
  <si>
    <t xml:space="preserve">Morbi Solar Park – 300MW</t>
  </si>
  <si>
    <t xml:space="preserve">Morbi</t>
  </si>
  <si>
    <t xml:space="preserve">08-Sep-2023</t>
  </si>
  <si>
    <t xml:space="preserve">10-Nov-2023</t>
  </si>
  <si>
    <t xml:space="preserve">REC Group (405W Alpha Pure-R)</t>
  </si>
  <si>
    <t xml:space="preserve">AGEL-S-009</t>
  </si>
  <si>
    <t xml:space="preserve">Anantapur Solar Park – 100MW</t>
  </si>
  <si>
    <t xml:space="preserve">Anantapur</t>
  </si>
  <si>
    <t xml:space="preserve">Andhra Pradesh</t>
  </si>
  <si>
    <t xml:space="preserve">11-Jun-2023</t>
  </si>
  <si>
    <t xml:space="preserve">17-Aug-2023</t>
  </si>
  <si>
    <t xml:space="preserve">SPML Infra Ltd</t>
  </si>
  <si>
    <t xml:space="preserve">AGEL-S-010</t>
  </si>
  <si>
    <t xml:space="preserve">Rann of Kutch Solar Park – 300MW</t>
  </si>
  <si>
    <t xml:space="preserve">Rann of Kutch</t>
  </si>
  <si>
    <t xml:space="preserve">23-Sep-2021</t>
  </si>
  <si>
    <t xml:space="preserve">20-Nov-2021</t>
  </si>
  <si>
    <t xml:space="preserve">Adani Solar (540W TOPCon)</t>
  </si>
  <si>
    <t xml:space="preserve">AGEL-S-011</t>
  </si>
  <si>
    <t xml:space="preserve">Jaisalmer Solar Phase 3 – 250MW</t>
  </si>
  <si>
    <t xml:space="preserve">Jaisalmer</t>
  </si>
  <si>
    <t xml:space="preserve">24-Jan-2022</t>
  </si>
  <si>
    <t xml:space="preserve">12-Feb-2022</t>
  </si>
  <si>
    <t xml:space="preserve">AGEL-S-012</t>
  </si>
  <si>
    <t xml:space="preserve">Kurnool Solar Park – 500MW</t>
  </si>
  <si>
    <t xml:space="preserve">Kurnool</t>
  </si>
  <si>
    <t xml:space="preserve">23-Aug-2022</t>
  </si>
  <si>
    <t xml:space="preserve">22-Sep-2022</t>
  </si>
  <si>
    <t xml:space="preserve">Montecarlo Ltd</t>
  </si>
  <si>
    <t xml:space="preserve">AGEL-S-013</t>
  </si>
  <si>
    <t xml:space="preserve">Bikaner Solar Park – 150MW</t>
  </si>
  <si>
    <t xml:space="preserve">Bikaner</t>
  </si>
  <si>
    <t xml:space="preserve">02-Nov-2021</t>
  </si>
  <si>
    <t xml:space="preserve">05-Dec-2021</t>
  </si>
  <si>
    <t xml:space="preserve">Waaree Energies Ltd</t>
  </si>
  <si>
    <t xml:space="preserve">AGEL-S-014</t>
  </si>
  <si>
    <t xml:space="preserve">Pavagada Solar Phase 3 – 300MW</t>
  </si>
  <si>
    <t xml:space="preserve">Pavagada</t>
  </si>
  <si>
    <t xml:space="preserve">05-Aug-2021</t>
  </si>
  <si>
    <t xml:space="preserve">05-Sep-2021</t>
  </si>
  <si>
    <t xml:space="preserve">AGEL-S-015</t>
  </si>
  <si>
    <t xml:space="preserve">Dhule Solar Park – 50MW</t>
  </si>
  <si>
    <t xml:space="preserve">Dhule</t>
  </si>
  <si>
    <t xml:space="preserve">02-Apr-2021</t>
  </si>
  <si>
    <t xml:space="preserve">01-May-2021</t>
  </si>
  <si>
    <t xml:space="preserve">AGEL-S-016</t>
  </si>
  <si>
    <t xml:space="preserve">Barmer Solar Phase 3 – 200MW</t>
  </si>
  <si>
    <t xml:space="preserve">Barmer</t>
  </si>
  <si>
    <t xml:space="preserve">27-Jul-2023</t>
  </si>
  <si>
    <t xml:space="preserve">27-Aug-2023</t>
  </si>
  <si>
    <t xml:space="preserve">AGEL-S-017</t>
  </si>
  <si>
    <t xml:space="preserve">Khavda Solar Phase 3 – 400MW</t>
  </si>
  <si>
    <t xml:space="preserve">Khavda</t>
  </si>
  <si>
    <t xml:space="preserve">14-Jul-2021</t>
  </si>
  <si>
    <t xml:space="preserve">21-Jul-2021</t>
  </si>
  <si>
    <t xml:space="preserve">AGEL-S-018</t>
  </si>
  <si>
    <t xml:space="preserve">Fatehgarh Solar Park – 500MW</t>
  </si>
  <si>
    <t xml:space="preserve">Fatehgarh</t>
  </si>
  <si>
    <t xml:space="preserve">27-May-2022</t>
  </si>
  <si>
    <t xml:space="preserve">25-Jul-2022</t>
  </si>
  <si>
    <t xml:space="preserve">First Solar (440W Series 6)</t>
  </si>
  <si>
    <t xml:space="preserve">AGEL-S-019</t>
  </si>
  <si>
    <t xml:space="preserve">Tumkur Solar Phase 1 – 50MW</t>
  </si>
  <si>
    <t xml:space="preserve">10-Feb-2023</t>
  </si>
  <si>
    <t xml:space="preserve">13-Apr-2023</t>
  </si>
  <si>
    <t xml:space="preserve">AGEL-S-020</t>
  </si>
  <si>
    <t xml:space="preserve">Chitradurga Solar Park – 400MW</t>
  </si>
  <si>
    <t xml:space="preserve">15-Jun-2022</t>
  </si>
  <si>
    <t xml:space="preserve">08-Aug-2022</t>
  </si>
  <si>
    <t xml:space="preserve">L&amp;T Construction</t>
  </si>
  <si>
    <t xml:space="preserve">AGEL-S-021</t>
  </si>
  <si>
    <t xml:space="preserve">Pokhran Solar Park – 250MW</t>
  </si>
  <si>
    <t xml:space="preserve">26-Mar-2021</t>
  </si>
  <si>
    <t xml:space="preserve">05-May-2021</t>
  </si>
  <si>
    <t xml:space="preserve">AGEL-S-022</t>
  </si>
  <si>
    <t xml:space="preserve">Jodhpur Solar Phase 1 – 100MW</t>
  </si>
  <si>
    <t xml:space="preserve">23-Feb-2021</t>
  </si>
  <si>
    <t xml:space="preserve">20-May-2021</t>
  </si>
  <si>
    <t xml:space="preserve">AGEL-S-023</t>
  </si>
  <si>
    <t xml:space="preserve">Mundra Solar Phase 2 – 50MW</t>
  </si>
  <si>
    <t xml:space="preserve">28-Oct-2023</t>
  </si>
  <si>
    <t xml:space="preserve">07-Dec-2023</t>
  </si>
  <si>
    <t xml:space="preserve">AGEL-S-024</t>
  </si>
  <si>
    <t xml:space="preserve">Patan Solar Phase 2 – 150MW</t>
  </si>
  <si>
    <t xml:space="preserve">01-Oct-2022</t>
  </si>
  <si>
    <t xml:space="preserve">10-Oct-2022</t>
  </si>
  <si>
    <t xml:space="preserve">Tata Projects Ltd</t>
  </si>
  <si>
    <t xml:space="preserve">AGEL-S-025</t>
  </si>
  <si>
    <t xml:space="preserve">Osmanabad Solar Phase 1 – 200MW</t>
  </si>
  <si>
    <t xml:space="preserve">20-Apr-2021</t>
  </si>
  <si>
    <t xml:space="preserve">21-May-2021</t>
  </si>
  <si>
    <t xml:space="preserve">AGEL-S-026</t>
  </si>
  <si>
    <t xml:space="preserve">Morbi Solar Phase 3 – 50MW</t>
  </si>
  <si>
    <t xml:space="preserve">15-Jul-2021</t>
  </si>
  <si>
    <t xml:space="preserve">01-Aug-2021</t>
  </si>
  <si>
    <t xml:space="preserve">AGEL-S-027</t>
  </si>
  <si>
    <t xml:space="preserve">Anantapur Solar Phase 1 – 200MW</t>
  </si>
  <si>
    <t xml:space="preserve">22-Apr-2022</t>
  </si>
  <si>
    <t xml:space="preserve">AGEL-S-028</t>
  </si>
  <si>
    <t xml:space="preserve">Rann of Kutch Solar Park – 50MW</t>
  </si>
  <si>
    <t xml:space="preserve">01-Jun-2022</t>
  </si>
  <si>
    <t xml:space="preserve">21-Jun-2022</t>
  </si>
  <si>
    <t xml:space="preserve">AGEL-S-029</t>
  </si>
  <si>
    <t xml:space="preserve">Jaisalmer Solar Phase 2 – 150MW</t>
  </si>
  <si>
    <t xml:space="preserve">06-Sep-2021</t>
  </si>
  <si>
    <t xml:space="preserve">31-Oct-2021</t>
  </si>
  <si>
    <t xml:space="preserve">AGEL-S-030</t>
  </si>
  <si>
    <t xml:space="preserve">Kurnool Solar Phase 2 – 200MW</t>
  </si>
  <si>
    <t xml:space="preserve">24-Jan-2023</t>
  </si>
  <si>
    <t xml:space="preserve">AGEL-S-031</t>
  </si>
  <si>
    <t xml:space="preserve">Bikaner Solar Park – 50MW</t>
  </si>
  <si>
    <t xml:space="preserve">FY2025-26</t>
  </si>
  <si>
    <t xml:space="preserve">Ongoing</t>
  </si>
  <si>
    <t xml:space="preserve">26-Feb-2026</t>
  </si>
  <si>
    <t xml:space="preserve">19-Oct-2026</t>
  </si>
  <si>
    <t xml:space="preserve">Partially Delivered – 25%</t>
  </si>
  <si>
    <t xml:space="preserve">50% Paid – Milestone 2 Pending</t>
  </si>
  <si>
    <t xml:space="preserve">Land acquisition in progress</t>
  </si>
  <si>
    <t xml:space="preserve">AGEL-S-032</t>
  </si>
  <si>
    <t xml:space="preserve">Pavagada Solar Park – 500MW</t>
  </si>
  <si>
    <t xml:space="preserve">25-Dec-2025</t>
  </si>
  <si>
    <t xml:space="preserve">12-Apr-2026</t>
  </si>
  <si>
    <t xml:space="preserve">Partially Delivered – 75%</t>
  </si>
  <si>
    <t xml:space="preserve">Transmission line work pending</t>
  </si>
  <si>
    <t xml:space="preserve">AGEL-S-033</t>
  </si>
  <si>
    <t xml:space="preserve">Dhule Solar Phase 2 – 100MW</t>
  </si>
  <si>
    <t xml:space="preserve">28-Mar-2027</t>
  </si>
  <si>
    <t xml:space="preserve">Vikram Solar (545W HJT)</t>
  </si>
  <si>
    <t xml:space="preserve">AGEL-S-034</t>
  </si>
  <si>
    <t xml:space="preserve">Barmer Solar Park – 50MW</t>
  </si>
  <si>
    <t xml:space="preserve">20-Dec-2025</t>
  </si>
  <si>
    <t xml:space="preserve">24-Jul-2026</t>
  </si>
  <si>
    <t xml:space="preserve">10% Mobilisation Advance Paid</t>
  </si>
  <si>
    <t xml:space="preserve">AGEL-S-035</t>
  </si>
  <si>
    <t xml:space="preserve">Khavda Solar Phase 1 – 50MW</t>
  </si>
  <si>
    <t xml:space="preserve">FY2024-25</t>
  </si>
  <si>
    <t xml:space="preserve">08-Jan-2026</t>
  </si>
  <si>
    <t xml:space="preserve">28-May-2026</t>
  </si>
  <si>
    <t xml:space="preserve">PO Raised – Awaiting Dispatch</t>
  </si>
  <si>
    <t xml:space="preserve">30% Paid – Advance Released</t>
  </si>
  <si>
    <t xml:space="preserve">AGEL-S-036</t>
  </si>
  <si>
    <t xml:space="preserve">Fatehgarh Solar Park – 400MW</t>
  </si>
  <si>
    <t xml:space="preserve">22-Jul-2026</t>
  </si>
  <si>
    <t xml:space="preserve">22-Sep-2026</t>
  </si>
  <si>
    <t xml:space="preserve">Partially Delivered – 50%</t>
  </si>
  <si>
    <t xml:space="preserve">Payment on Hold – Dispute</t>
  </si>
  <si>
    <t xml:space="preserve">Turbine erection in progress</t>
  </si>
  <si>
    <t xml:space="preserve">AGEL-S-037</t>
  </si>
  <si>
    <t xml:space="preserve">Tumkur Solar Park – 50MW</t>
  </si>
  <si>
    <t xml:space="preserve">17-Mar-2026</t>
  </si>
  <si>
    <t xml:space="preserve">03-Nov-2026</t>
  </si>
  <si>
    <t xml:space="preserve">In Transit</t>
  </si>
  <si>
    <t xml:space="preserve">Statutory approvals awaited</t>
  </si>
  <si>
    <t xml:space="preserve">AGEL-S-038</t>
  </si>
  <si>
    <t xml:space="preserve">Chitradurga Solar Phase 2 – 150MW</t>
  </si>
  <si>
    <t xml:space="preserve">06-Apr-2025</t>
  </si>
  <si>
    <t xml:space="preserve">01-Dec-2025</t>
  </si>
  <si>
    <t xml:space="preserve">AGEL-S-039</t>
  </si>
  <si>
    <t xml:space="preserve">Pokhran Solar Phase 3 – 200MW</t>
  </si>
  <si>
    <t xml:space="preserve">26-Aug-2026</t>
  </si>
  <si>
    <t xml:space="preserve">AGEL-S-040</t>
  </si>
  <si>
    <t xml:space="preserve">14-Dec-2026</t>
  </si>
  <si>
    <t xml:space="preserve">25-May-2027</t>
  </si>
  <si>
    <t xml:space="preserve">Financial closure in progress</t>
  </si>
  <si>
    <t xml:space="preserve">AGEL-S-041</t>
  </si>
  <si>
    <t xml:space="preserve">Mundra Solar Phase 3 – 500MW</t>
  </si>
  <si>
    <t xml:space="preserve">16-Jul-2026</t>
  </si>
  <si>
    <t xml:space="preserve">07-Dec-2026</t>
  </si>
  <si>
    <t xml:space="preserve">AGEL-S-042</t>
  </si>
  <si>
    <t xml:space="preserve">Patan Solar Park – 200MW</t>
  </si>
  <si>
    <t xml:space="preserve">20-Oct-2025</t>
  </si>
  <si>
    <t xml:space="preserve">18-Jan-2026</t>
  </si>
  <si>
    <t xml:space="preserve">Civil work ongoing</t>
  </si>
  <si>
    <t xml:space="preserve">AGEL-S-043</t>
  </si>
  <si>
    <t xml:space="preserve">Osmanabad Solar Park – 200MW</t>
  </si>
  <si>
    <t xml:space="preserve">05-Dec-2025</t>
  </si>
  <si>
    <t xml:space="preserve">22-May-2026</t>
  </si>
  <si>
    <t xml:space="preserve">AGEL-S-044</t>
  </si>
  <si>
    <t xml:space="preserve">Morbi Solar Park – 500MW</t>
  </si>
  <si>
    <t xml:space="preserve">02-Nov-2025</t>
  </si>
  <si>
    <t xml:space="preserve">12-Jun-2026</t>
  </si>
  <si>
    <t xml:space="preserve">AGEL-S-045</t>
  </si>
  <si>
    <t xml:space="preserve">Anantapur Solar Park – 200MW</t>
  </si>
  <si>
    <t xml:space="preserve">30-Jan-2025</t>
  </si>
  <si>
    <t xml:space="preserve">08-Jun-2025</t>
  </si>
  <si>
    <t xml:space="preserve">AGEL-S-046</t>
  </si>
  <si>
    <t xml:space="preserve">Rann of Kutch Solar Phase 3 – 400MW</t>
  </si>
  <si>
    <t xml:space="preserve">27-Mar-2025</t>
  </si>
  <si>
    <t xml:space="preserve">07-Oct-2025</t>
  </si>
  <si>
    <t xml:space="preserve">Module installation underway</t>
  </si>
  <si>
    <t xml:space="preserve">AGEL-S-047</t>
  </si>
  <si>
    <t xml:space="preserve">Jaisalmer Solar Park – 500MW</t>
  </si>
  <si>
    <t xml:space="preserve">12-Oct-2025</t>
  </si>
  <si>
    <t xml:space="preserve">AGEL-S-048</t>
  </si>
  <si>
    <t xml:space="preserve">Kurnool Solar Phase 3 – 200MW</t>
  </si>
  <si>
    <t xml:space="preserve">01-Feb-2025</t>
  </si>
  <si>
    <t xml:space="preserve">05-May-2025</t>
  </si>
  <si>
    <t xml:space="preserve">AGEL-S-049</t>
  </si>
  <si>
    <t xml:space="preserve">Bikaner Solar Phase 2 – 500MW</t>
  </si>
  <si>
    <t xml:space="preserve">13-Sep-2026</t>
  </si>
  <si>
    <t xml:space="preserve">17-Mar-2027</t>
  </si>
  <si>
    <t xml:space="preserve">AGEL-S-050</t>
  </si>
  <si>
    <t xml:space="preserve">Pavagada Solar Park – 400MW</t>
  </si>
  <si>
    <t xml:space="preserve">19-Mar-2025</t>
  </si>
  <si>
    <t xml:space="preserve">16-Sep-2025</t>
  </si>
  <si>
    <t xml:space="preserve">AGEL-S-051</t>
  </si>
  <si>
    <t xml:space="preserve">Dhule Solar Phase 3 – 300MW</t>
  </si>
  <si>
    <t xml:space="preserve">FY2026-27</t>
  </si>
  <si>
    <t xml:space="preserve">Planned</t>
  </si>
  <si>
    <t xml:space="preserve">12-Mar-2026</t>
  </si>
  <si>
    <t xml:space="preserve">Under Procurement</t>
  </si>
  <si>
    <t xml:space="preserve">AGEL-S-052</t>
  </si>
  <si>
    <t xml:space="preserve">Barmer Solar Phase 3 – 150MW</t>
  </si>
  <si>
    <t xml:space="preserve">23-Sep-2027</t>
  </si>
  <si>
    <t xml:space="preserve">21-Dec-2028</t>
  </si>
  <si>
    <t xml:space="preserve">AGEL-S-053</t>
  </si>
  <si>
    <t xml:space="preserve">Khavda Solar Phase 3 – 200MW</t>
  </si>
  <si>
    <t xml:space="preserve">11-Dec-2026</t>
  </si>
  <si>
    <t xml:space="preserve">23-Jun-2027</t>
  </si>
  <si>
    <t xml:space="preserve">Invoice Raised – Awaiting Approval</t>
  </si>
  <si>
    <t xml:space="preserve">AGEL-S-054</t>
  </si>
  <si>
    <t xml:space="preserve">Fatehgarh Solar Phase 3 – 250MW</t>
  </si>
  <si>
    <t xml:space="preserve">29-Mar-2026</t>
  </si>
  <si>
    <t xml:space="preserve">26-Jan-2027</t>
  </si>
  <si>
    <t xml:space="preserve">Not Yet Procured</t>
  </si>
  <si>
    <t xml:space="preserve">AGEL-S-055</t>
  </si>
  <si>
    <t xml:space="preserve">Tumkur Solar Park – 100MW</t>
  </si>
  <si>
    <t xml:space="preserve">10-Dec-2027</t>
  </si>
  <si>
    <t xml:space="preserve">09-Oct-2028</t>
  </si>
  <si>
    <t xml:space="preserve">Not Started</t>
  </si>
  <si>
    <t xml:space="preserve">AGEL-W-056</t>
  </si>
  <si>
    <t xml:space="preserve">Khavda Wind Phase 2 – 50MW</t>
  </si>
  <si>
    <t xml:space="preserve">Wind</t>
  </si>
  <si>
    <t xml:space="preserve">19-Dec-2022</t>
  </si>
  <si>
    <t xml:space="preserve">10-Jan-2023</t>
  </si>
  <si>
    <t xml:space="preserve">Suzlon Energy Ltd</t>
  </si>
  <si>
    <t xml:space="preserve">Vestas V150-4.5MW</t>
  </si>
  <si>
    <t xml:space="preserve">AGEL-W-057</t>
  </si>
  <si>
    <t xml:space="preserve">Jodhpur Wind Phase 3 – 300MW</t>
  </si>
  <si>
    <t xml:space="preserve">30-Jul-2021</t>
  </si>
  <si>
    <t xml:space="preserve">AGEL-W-058</t>
  </si>
  <si>
    <t xml:space="preserve">Tumkur Wind Park – 200MW</t>
  </si>
  <si>
    <t xml:space="preserve">29-Jan-2023</t>
  </si>
  <si>
    <t xml:space="preserve">01-Apr-2023</t>
  </si>
  <si>
    <t xml:space="preserve">Senvion India Pvt Ltd</t>
  </si>
  <si>
    <t xml:space="preserve">AGEL-W-059</t>
  </si>
  <si>
    <t xml:space="preserve">Patan Wind Phase 1 – 50MW</t>
  </si>
  <si>
    <t xml:space="preserve">15-Feb-2023</t>
  </si>
  <si>
    <t xml:space="preserve">03-May-2023</t>
  </si>
  <si>
    <t xml:space="preserve">Envision Energy India</t>
  </si>
  <si>
    <t xml:space="preserve">Windworld W-3000</t>
  </si>
  <si>
    <t xml:space="preserve">AGEL-W-060</t>
  </si>
  <si>
    <t xml:space="preserve">Anantapur Wind Phase 2 – 150MW</t>
  </si>
  <si>
    <t xml:space="preserve">15-Feb-2021</t>
  </si>
  <si>
    <t xml:space="preserve">04-May-2021</t>
  </si>
  <si>
    <t xml:space="preserve">GE Vernova India</t>
  </si>
  <si>
    <t xml:space="preserve">Siemens Gamesa SG 5.0-145</t>
  </si>
  <si>
    <t xml:space="preserve">AGEL-W-061</t>
  </si>
  <si>
    <t xml:space="preserve">Morbi Wind Park – 100MW</t>
  </si>
  <si>
    <t xml:space="preserve">14-May-2021</t>
  </si>
  <si>
    <t xml:space="preserve">03-Jun-2021</t>
  </si>
  <si>
    <t xml:space="preserve">GE Vernova 3.6MW-137</t>
  </si>
  <si>
    <t xml:space="preserve">AGEL-W-062</t>
  </si>
  <si>
    <t xml:space="preserve">Rann of Kutch Wind Phase 3 – 150MW</t>
  </si>
  <si>
    <t xml:space="preserve">28-Feb-2021</t>
  </si>
  <si>
    <t xml:space="preserve">26-May-2021</t>
  </si>
  <si>
    <t xml:space="preserve">ReGen Powertech Pvt Ltd</t>
  </si>
  <si>
    <t xml:space="preserve">AGEL-W-063</t>
  </si>
  <si>
    <t xml:space="preserve">Bikaner Wind Park – 250MW</t>
  </si>
  <si>
    <t xml:space="preserve">11-Jun-2022</t>
  </si>
  <si>
    <t xml:space="preserve">29-Jun-2022</t>
  </si>
  <si>
    <t xml:space="preserve">AGEL-W-064</t>
  </si>
  <si>
    <t xml:space="preserve">Dhule Wind Phase 3 – 200MW</t>
  </si>
  <si>
    <t xml:space="preserve">09-May-2022</t>
  </si>
  <si>
    <t xml:space="preserve">12-Jul-2022</t>
  </si>
  <si>
    <t xml:space="preserve">Windworld India Ltd</t>
  </si>
  <si>
    <t xml:space="preserve">AGEL-W-065</t>
  </si>
  <si>
    <t xml:space="preserve">Mundra Wind Park – 50MW</t>
  </si>
  <si>
    <t xml:space="preserve">18-Nov-2020</t>
  </si>
  <si>
    <t xml:space="preserve">12-Feb-2021</t>
  </si>
  <si>
    <t xml:space="preserve">AGEL-W-066</t>
  </si>
  <si>
    <t xml:space="preserve">Chitradurga Wind Park – 150MW</t>
  </si>
  <si>
    <t xml:space="preserve">13-Oct-2026</t>
  </si>
  <si>
    <t xml:space="preserve">08-Jun-2027</t>
  </si>
  <si>
    <t xml:space="preserve">AGEL-W-067</t>
  </si>
  <si>
    <t xml:space="preserve">Jaisalmer Wind Phase 2 – 150MW</t>
  </si>
  <si>
    <t xml:space="preserve">10-Nov-2026</t>
  </si>
  <si>
    <t xml:space="preserve">22-Mar-2027</t>
  </si>
  <si>
    <t xml:space="preserve">Enercon E-160 EP5</t>
  </si>
  <si>
    <t xml:space="preserve">Pending grid connectivity approval</t>
  </si>
  <si>
    <t xml:space="preserve">AGEL-W-068</t>
  </si>
  <si>
    <t xml:space="preserve">Fatehgarh Wind Phase 1 – 200MW</t>
  </si>
  <si>
    <t xml:space="preserve">28-Feb-2026</t>
  </si>
  <si>
    <t xml:space="preserve">Vestas Wind Systems India</t>
  </si>
  <si>
    <t xml:space="preserve">AGEL-W-069</t>
  </si>
  <si>
    <t xml:space="preserve">Osmanabad Wind Phase 3 – 150MW</t>
  </si>
  <si>
    <t xml:space="preserve">11-Jun-2025</t>
  </si>
  <si>
    <t xml:space="preserve">Enercon India Ltd</t>
  </si>
  <si>
    <t xml:space="preserve">Suzlon S144 (3MW)</t>
  </si>
  <si>
    <t xml:space="preserve">AGEL-W-070</t>
  </si>
  <si>
    <t xml:space="preserve">Pokhran Wind Park – 50MW</t>
  </si>
  <si>
    <t xml:space="preserve">18-Apr-2026</t>
  </si>
  <si>
    <t xml:space="preserve">17-Jun-2026</t>
  </si>
  <si>
    <t xml:space="preserve">AGEL-W-071</t>
  </si>
  <si>
    <t xml:space="preserve">Barmer Wind Phase 1 – 100MW</t>
  </si>
  <si>
    <t xml:space="preserve">15-Jul-2025</t>
  </si>
  <si>
    <t xml:space="preserve">06-Apr-2026</t>
  </si>
  <si>
    <t xml:space="preserve">AGEL-W-072</t>
  </si>
  <si>
    <t xml:space="preserve">Pavagada Wind Park – 50MW</t>
  </si>
  <si>
    <t xml:space="preserve">25-Aug-2026</t>
  </si>
  <si>
    <t xml:space="preserve">19-Feb-2027</t>
  </si>
  <si>
    <t xml:space="preserve">AGEL-W-073</t>
  </si>
  <si>
    <t xml:space="preserve">Kurnool Wind Phase 2 – 250MW</t>
  </si>
  <si>
    <t xml:space="preserve">26-Nov-2026</t>
  </si>
  <si>
    <t xml:space="preserve">29-Aug-2027</t>
  </si>
  <si>
    <t xml:space="preserve">AGEL-W-074</t>
  </si>
  <si>
    <t xml:space="preserve">Khavda Wind Phase 2 – 300MW</t>
  </si>
  <si>
    <t xml:space="preserve">11-Nov-2027</t>
  </si>
  <si>
    <t xml:space="preserve">07-Apr-2029</t>
  </si>
  <si>
    <t xml:space="preserve">AGEL-W-075</t>
  </si>
  <si>
    <t xml:space="preserve">Jodhpur Wind Park – 200MW</t>
  </si>
  <si>
    <t xml:space="preserve">16-Jan-2026</t>
  </si>
  <si>
    <t xml:space="preserve">26-Sep-2026</t>
  </si>
  <si>
    <t xml:space="preserve">AGEL — Executive Project Summary Dashboard</t>
  </si>
  <si>
    <t xml:space="preserve">Portfolio Overview</t>
  </si>
  <si>
    <t xml:space="preserve">Total Projects</t>
  </si>
  <si>
    <t xml:space="preserve">Solar Projects</t>
  </si>
  <si>
    <t xml:space="preserve">Wind Projects</t>
  </si>
  <si>
    <t xml:space="preserve">Total Capacity (MW)</t>
  </si>
  <si>
    <t xml:space="preserve">Total Budget Allocated (₹ Cr)</t>
  </si>
  <si>
    <t xml:space="preserve">Total Budget Used (₹ Cr)</t>
  </si>
  <si>
    <t xml:space="preserve">Total Revenue (₹ Cr)</t>
  </si>
  <si>
    <t xml:space="preserve">Projects by State</t>
  </si>
  <si>
    <t xml:space="preserve">Projects</t>
  </si>
  <si>
    <t xml:space="preserve">Total Budget (₹ Cr)</t>
  </si>
  <si>
    <t xml:space="preserve">AGEL — Ongoing Projects Tracker</t>
  </si>
  <si>
    <t xml:space="preserve">AGEL — Material &amp; Contractor Payment Status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</si>
</sst>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"/>
    <numFmt numFmtId="167" formatCode="General"/>
    <numFmt numFmtId="168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2E7D32"/>
      <name val="Arial"/>
      <family val="0"/>
      <charset val="1"/>
    </font>
    <font>
      <sz val="9"/>
      <color rgb="FFE65100"/>
      <name val="Arial"/>
      <family val="0"/>
      <charset val="1"/>
    </font>
    <font>
      <sz val="9"/>
      <color rgb="FFB71C1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F2345"/>
        <bgColor rgb="FF1F3864"/>
      </patternFill>
    </fill>
    <fill>
      <patternFill patternType="solid">
        <fgColor rgb="FF1F3864"/>
        <bgColor rgb="FF0F2345"/>
      </patternFill>
    </fill>
    <fill>
      <patternFill patternType="solid">
        <fgColor rgb="FFE2EFDA"/>
        <bgColor rgb="FFDDEEFF"/>
      </patternFill>
    </fill>
    <fill>
      <patternFill patternType="solid">
        <fgColor rgb="FFFFFFFF"/>
        <bgColor rgb="FFFFFAED"/>
      </patternFill>
    </fill>
    <fill>
      <patternFill patternType="solid">
        <fgColor rgb="FFF0FFF0"/>
        <bgColor rgb="FFFFFAED"/>
      </patternFill>
    </fill>
    <fill>
      <patternFill patternType="solid">
        <fgColor rgb="FFFFF2CC"/>
        <bgColor rgb="FFFFFAED"/>
      </patternFill>
    </fill>
    <fill>
      <patternFill patternType="solid">
        <fgColor rgb="FFFFFAED"/>
        <bgColor rgb="FFFFFFFF"/>
      </patternFill>
    </fill>
    <fill>
      <patternFill patternType="solid">
        <fgColor rgb="FFDDEEFF"/>
        <bgColor rgb="FFEEF5FF"/>
      </patternFill>
    </fill>
    <fill>
      <patternFill patternType="solid">
        <fgColor rgb="FFEEF5FF"/>
        <bgColor rgb="FFF0FFF0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F2345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E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5FF"/>
      <rgbColor rgb="FFE2EFDA"/>
      <rgbColor rgb="FFFFFAED"/>
      <rgbColor rgb="FF99CCFF"/>
      <rgbColor rgb="FFFF99CC"/>
      <rgbColor rgb="FFCC99FF"/>
      <rgbColor rgb="FFF0FFF0"/>
      <rgbColor rgb="FF2E75B6"/>
      <rgbColor rgb="FF33CCCC"/>
      <rgbColor rgb="FF99CC00"/>
      <rgbColor rgb="FFFFCC00"/>
      <rgbColor rgb="FFFF9900"/>
      <rgbColor rgb="FFE65100"/>
      <rgbColor rgb="FF666699"/>
      <rgbColor rgb="FF969696"/>
      <rgbColor rgb="FF1F3864"/>
      <rgbColor rgb="FF2E7D32"/>
      <rgbColor rgb="FF003300"/>
      <rgbColor rgb="FF333300"/>
      <rgbColor rgb="FFB71C1C"/>
      <rgbColor rgb="FF993366"/>
      <rgbColor rgb="FF333399"/>
      <rgbColor rgb="FF0F23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8"/>
    <col collapsed="false" customWidth="true" hidden="false" outlineLevel="0" max="10" min="10" style="0" width="15"/>
    <col collapsed="false" customWidth="true" hidden="false" outlineLevel="0" max="12" min="11" style="0" width="18"/>
    <col collapsed="false" customWidth="true" hidden="false" outlineLevel="0" max="14" min="13" style="0" width="17"/>
    <col collapsed="false" customWidth="true" hidden="false" outlineLevel="0" max="15" min="15" style="0" width="16"/>
    <col collapsed="false" customWidth="true" hidden="false" outlineLevel="0" max="16" min="16" style="0" width="30"/>
    <col collapsed="false" customWidth="true" hidden="false" outlineLevel="0" max="17" min="17" style="0" width="32"/>
    <col collapsed="false" customWidth="true" hidden="false" outlineLevel="0" max="18" min="18" style="0" width="28"/>
    <col collapsed="false" customWidth="true" hidden="false" outlineLevel="0" max="19" min="19" style="0" width="30"/>
    <col collapsed="false" customWidth="true" hidden="false" outlineLevel="0" max="20" min="20" style="0" width="18"/>
    <col collapsed="false" customWidth="true" hidden="false" outlineLevel="0" max="21" min="21" style="0" width="12"/>
    <col collapsed="false" customWidth="true" hidden="false" outlineLevel="0" max="22" min="22" style="0" width="3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36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customFormat="false" ht="15" hidden="false" customHeight="false" outlineLevel="0" collapsed="false">
      <c r="A3" s="3" t="s">
        <v>23</v>
      </c>
      <c r="B3" s="4" t="s">
        <v>24</v>
      </c>
      <c r="C3" s="3" t="s">
        <v>25</v>
      </c>
      <c r="D3" s="3" t="s">
        <v>26</v>
      </c>
      <c r="E3" s="3" t="s">
        <v>27</v>
      </c>
      <c r="F3" s="5" t="n">
        <v>200</v>
      </c>
      <c r="G3" s="3" t="s">
        <v>28</v>
      </c>
      <c r="H3" s="3" t="s">
        <v>29</v>
      </c>
      <c r="I3" s="6" t="n">
        <v>983.75</v>
      </c>
      <c r="J3" s="6" t="n">
        <v>926.94</v>
      </c>
      <c r="K3" s="7" t="n">
        <f aca="false">I3-J3</f>
        <v>56.8099999999999</v>
      </c>
      <c r="L3" s="6" t="n">
        <v>262.59</v>
      </c>
      <c r="M3" s="3" t="s">
        <v>30</v>
      </c>
      <c r="N3" s="3" t="s">
        <v>31</v>
      </c>
      <c r="O3" s="3" t="s">
        <v>32</v>
      </c>
      <c r="P3" s="4" t="s">
        <v>33</v>
      </c>
      <c r="Q3" s="4" t="s">
        <v>34</v>
      </c>
      <c r="R3" s="3" t="s">
        <v>35</v>
      </c>
      <c r="S3" s="3" t="s">
        <v>36</v>
      </c>
      <c r="T3" s="8" t="n">
        <v>1</v>
      </c>
      <c r="U3" s="9" t="n">
        <v>0</v>
      </c>
      <c r="V3" s="4" t="s">
        <v>37</v>
      </c>
    </row>
    <row r="4" customFormat="false" ht="15" hidden="false" customHeight="false" outlineLevel="0" collapsed="false">
      <c r="A4" s="10" t="s">
        <v>38</v>
      </c>
      <c r="B4" s="11" t="s">
        <v>39</v>
      </c>
      <c r="C4" s="10" t="s">
        <v>25</v>
      </c>
      <c r="D4" s="10" t="s">
        <v>40</v>
      </c>
      <c r="E4" s="10" t="s">
        <v>27</v>
      </c>
      <c r="F4" s="12" t="n">
        <v>250</v>
      </c>
      <c r="G4" s="10" t="s">
        <v>41</v>
      </c>
      <c r="H4" s="10" t="s">
        <v>29</v>
      </c>
      <c r="I4" s="6" t="n">
        <v>1201.97</v>
      </c>
      <c r="J4" s="6" t="n">
        <v>1140.33</v>
      </c>
      <c r="K4" s="7" t="n">
        <f aca="false">I4-J4</f>
        <v>61.6400000000001</v>
      </c>
      <c r="L4" s="6" t="n">
        <v>257.7</v>
      </c>
      <c r="M4" s="10" t="s">
        <v>42</v>
      </c>
      <c r="N4" s="10" t="s">
        <v>31</v>
      </c>
      <c r="O4" s="10" t="s">
        <v>43</v>
      </c>
      <c r="P4" s="11" t="s">
        <v>44</v>
      </c>
      <c r="Q4" s="11" t="s">
        <v>45</v>
      </c>
      <c r="R4" s="10" t="s">
        <v>35</v>
      </c>
      <c r="S4" s="10" t="s">
        <v>46</v>
      </c>
      <c r="T4" s="8" t="n">
        <v>1</v>
      </c>
      <c r="U4" s="13" t="n">
        <v>0</v>
      </c>
      <c r="V4" s="11" t="s">
        <v>37</v>
      </c>
    </row>
    <row r="5" customFormat="false" ht="15" hidden="false" customHeight="false" outlineLevel="0" collapsed="false">
      <c r="A5" s="3" t="s">
        <v>47</v>
      </c>
      <c r="B5" s="4" t="s">
        <v>48</v>
      </c>
      <c r="C5" s="3" t="s">
        <v>25</v>
      </c>
      <c r="D5" s="3" t="s">
        <v>49</v>
      </c>
      <c r="E5" s="3" t="s">
        <v>50</v>
      </c>
      <c r="F5" s="5" t="n">
        <v>100</v>
      </c>
      <c r="G5" s="3" t="s">
        <v>51</v>
      </c>
      <c r="H5" s="3" t="s">
        <v>29</v>
      </c>
      <c r="I5" s="6" t="n">
        <v>518.96</v>
      </c>
      <c r="J5" s="6" t="n">
        <v>513.22</v>
      </c>
      <c r="K5" s="7" t="n">
        <f aca="false">I5-J5</f>
        <v>5.74000000000001</v>
      </c>
      <c r="L5" s="6" t="n">
        <v>123.38</v>
      </c>
      <c r="M5" s="3" t="s">
        <v>52</v>
      </c>
      <c r="N5" s="3" t="s">
        <v>31</v>
      </c>
      <c r="O5" s="3" t="s">
        <v>53</v>
      </c>
      <c r="P5" s="4" t="s">
        <v>44</v>
      </c>
      <c r="Q5" s="4" t="s">
        <v>54</v>
      </c>
      <c r="R5" s="3" t="s">
        <v>35</v>
      </c>
      <c r="S5" s="3" t="s">
        <v>36</v>
      </c>
      <c r="T5" s="8" t="n">
        <v>1</v>
      </c>
      <c r="U5" s="9" t="n">
        <v>0</v>
      </c>
      <c r="V5" s="4" t="s">
        <v>37</v>
      </c>
    </row>
    <row r="6" customFormat="false" ht="15" hidden="false" customHeight="false" outlineLevel="0" collapsed="false">
      <c r="A6" s="10" t="s">
        <v>55</v>
      </c>
      <c r="B6" s="11" t="s">
        <v>56</v>
      </c>
      <c r="C6" s="10" t="s">
        <v>25</v>
      </c>
      <c r="D6" s="10" t="s">
        <v>57</v>
      </c>
      <c r="E6" s="10" t="s">
        <v>50</v>
      </c>
      <c r="F6" s="12" t="n">
        <v>250</v>
      </c>
      <c r="G6" s="10" t="s">
        <v>51</v>
      </c>
      <c r="H6" s="10" t="s">
        <v>29</v>
      </c>
      <c r="I6" s="6" t="n">
        <v>1231.36</v>
      </c>
      <c r="J6" s="6" t="n">
        <v>1215.02</v>
      </c>
      <c r="K6" s="7" t="n">
        <f aca="false">I6-J6</f>
        <v>16.3399999999999</v>
      </c>
      <c r="L6" s="6" t="n">
        <v>241.67</v>
      </c>
      <c r="M6" s="10" t="s">
        <v>58</v>
      </c>
      <c r="N6" s="10" t="s">
        <v>31</v>
      </c>
      <c r="O6" s="10" t="s">
        <v>59</v>
      </c>
      <c r="P6" s="11" t="s">
        <v>60</v>
      </c>
      <c r="Q6" s="11" t="s">
        <v>61</v>
      </c>
      <c r="R6" s="10" t="s">
        <v>35</v>
      </c>
      <c r="S6" s="10" t="s">
        <v>46</v>
      </c>
      <c r="T6" s="8" t="n">
        <v>1</v>
      </c>
      <c r="U6" s="13" t="n">
        <v>0</v>
      </c>
      <c r="V6" s="11" t="s">
        <v>37</v>
      </c>
    </row>
    <row r="7" customFormat="false" ht="15" hidden="false" customHeight="false" outlineLevel="0" collapsed="false">
      <c r="A7" s="3" t="s">
        <v>62</v>
      </c>
      <c r="B7" s="4" t="s">
        <v>63</v>
      </c>
      <c r="C7" s="3" t="s">
        <v>25</v>
      </c>
      <c r="D7" s="3" t="s">
        <v>64</v>
      </c>
      <c r="E7" s="3" t="s">
        <v>65</v>
      </c>
      <c r="F7" s="5" t="n">
        <v>100</v>
      </c>
      <c r="G7" s="3" t="s">
        <v>28</v>
      </c>
      <c r="H7" s="3" t="s">
        <v>29</v>
      </c>
      <c r="I7" s="6" t="n">
        <v>493.96</v>
      </c>
      <c r="J7" s="6" t="n">
        <v>465.11</v>
      </c>
      <c r="K7" s="7" t="n">
        <f aca="false">I7-J7</f>
        <v>28.85</v>
      </c>
      <c r="L7" s="6" t="n">
        <v>134.62</v>
      </c>
      <c r="M7" s="3" t="s">
        <v>66</v>
      </c>
      <c r="N7" s="3" t="s">
        <v>31</v>
      </c>
      <c r="O7" s="3" t="s">
        <v>67</v>
      </c>
      <c r="P7" s="4" t="s">
        <v>68</v>
      </c>
      <c r="Q7" s="4" t="s">
        <v>69</v>
      </c>
      <c r="R7" s="3" t="s">
        <v>35</v>
      </c>
      <c r="S7" s="3" t="s">
        <v>36</v>
      </c>
      <c r="T7" s="8" t="n">
        <v>1</v>
      </c>
      <c r="U7" s="9" t="n">
        <v>0</v>
      </c>
      <c r="V7" s="4" t="s">
        <v>37</v>
      </c>
    </row>
    <row r="8" customFormat="false" ht="15" hidden="false" customHeight="false" outlineLevel="0" collapsed="false">
      <c r="A8" s="10" t="s">
        <v>70</v>
      </c>
      <c r="B8" s="11" t="s">
        <v>71</v>
      </c>
      <c r="C8" s="10" t="s">
        <v>25</v>
      </c>
      <c r="D8" s="10" t="s">
        <v>72</v>
      </c>
      <c r="E8" s="10" t="s">
        <v>65</v>
      </c>
      <c r="F8" s="12" t="n">
        <v>200</v>
      </c>
      <c r="G8" s="10" t="s">
        <v>41</v>
      </c>
      <c r="H8" s="10" t="s">
        <v>29</v>
      </c>
      <c r="I8" s="6" t="n">
        <v>907.51</v>
      </c>
      <c r="J8" s="6" t="n">
        <v>903.37</v>
      </c>
      <c r="K8" s="7" t="n">
        <f aca="false">I8-J8</f>
        <v>4.13999999999999</v>
      </c>
      <c r="L8" s="6" t="n">
        <v>242.88</v>
      </c>
      <c r="M8" s="10" t="s">
        <v>73</v>
      </c>
      <c r="N8" s="10" t="s">
        <v>31</v>
      </c>
      <c r="O8" s="10" t="s">
        <v>74</v>
      </c>
      <c r="P8" s="11" t="s">
        <v>60</v>
      </c>
      <c r="Q8" s="11" t="s">
        <v>45</v>
      </c>
      <c r="R8" s="10" t="s">
        <v>35</v>
      </c>
      <c r="S8" s="10" t="s">
        <v>46</v>
      </c>
      <c r="T8" s="8" t="n">
        <v>1</v>
      </c>
      <c r="U8" s="13" t="n">
        <v>0</v>
      </c>
      <c r="V8" s="11" t="s">
        <v>37</v>
      </c>
    </row>
    <row r="9" customFormat="false" ht="15" hidden="false" customHeight="false" outlineLevel="0" collapsed="false">
      <c r="A9" s="3" t="s">
        <v>75</v>
      </c>
      <c r="B9" s="4" t="s">
        <v>76</v>
      </c>
      <c r="C9" s="3" t="s">
        <v>25</v>
      </c>
      <c r="D9" s="3" t="s">
        <v>77</v>
      </c>
      <c r="E9" s="3" t="s">
        <v>78</v>
      </c>
      <c r="F9" s="5" t="n">
        <v>400</v>
      </c>
      <c r="G9" s="3" t="s">
        <v>41</v>
      </c>
      <c r="H9" s="3" t="s">
        <v>29</v>
      </c>
      <c r="I9" s="6" t="n">
        <v>1769.36</v>
      </c>
      <c r="J9" s="6" t="n">
        <v>1733.26</v>
      </c>
      <c r="K9" s="7" t="n">
        <f aca="false">I9-J9</f>
        <v>36.0999999999999</v>
      </c>
      <c r="L9" s="6" t="n">
        <v>413.85</v>
      </c>
      <c r="M9" s="3" t="s">
        <v>79</v>
      </c>
      <c r="N9" s="3" t="s">
        <v>31</v>
      </c>
      <c r="O9" s="3" t="s">
        <v>80</v>
      </c>
      <c r="P9" s="4" t="s">
        <v>81</v>
      </c>
      <c r="Q9" s="4" t="s">
        <v>82</v>
      </c>
      <c r="R9" s="3" t="s">
        <v>35</v>
      </c>
      <c r="S9" s="3" t="s">
        <v>46</v>
      </c>
      <c r="T9" s="8" t="n">
        <v>1</v>
      </c>
      <c r="U9" s="9" t="n">
        <v>0</v>
      </c>
      <c r="V9" s="4" t="s">
        <v>37</v>
      </c>
    </row>
    <row r="10" customFormat="false" ht="15" hidden="false" customHeight="false" outlineLevel="0" collapsed="false">
      <c r="A10" s="10" t="s">
        <v>83</v>
      </c>
      <c r="B10" s="11" t="s">
        <v>84</v>
      </c>
      <c r="C10" s="10" t="s">
        <v>25</v>
      </c>
      <c r="D10" s="10" t="s">
        <v>85</v>
      </c>
      <c r="E10" s="10" t="s">
        <v>65</v>
      </c>
      <c r="F10" s="12" t="n">
        <v>300</v>
      </c>
      <c r="G10" s="10" t="s">
        <v>51</v>
      </c>
      <c r="H10" s="10" t="s">
        <v>29</v>
      </c>
      <c r="I10" s="6" t="n">
        <v>1303.64</v>
      </c>
      <c r="J10" s="6" t="n">
        <v>1204.26</v>
      </c>
      <c r="K10" s="7" t="n">
        <f aca="false">I10-J10</f>
        <v>99.3800000000001</v>
      </c>
      <c r="L10" s="6" t="n">
        <v>248.95</v>
      </c>
      <c r="M10" s="10" t="s">
        <v>86</v>
      </c>
      <c r="N10" s="10" t="s">
        <v>31</v>
      </c>
      <c r="O10" s="10" t="s">
        <v>87</v>
      </c>
      <c r="P10" s="11" t="s">
        <v>33</v>
      </c>
      <c r="Q10" s="11" t="s">
        <v>88</v>
      </c>
      <c r="R10" s="10" t="s">
        <v>35</v>
      </c>
      <c r="S10" s="10" t="s">
        <v>36</v>
      </c>
      <c r="T10" s="8" t="n">
        <v>1</v>
      </c>
      <c r="U10" s="13" t="n">
        <v>0</v>
      </c>
      <c r="V10" s="11" t="s">
        <v>37</v>
      </c>
    </row>
    <row r="11" customFormat="false" ht="15" hidden="false" customHeight="false" outlineLevel="0" collapsed="false">
      <c r="A11" s="3" t="s">
        <v>89</v>
      </c>
      <c r="B11" s="4" t="s">
        <v>90</v>
      </c>
      <c r="C11" s="3" t="s">
        <v>25</v>
      </c>
      <c r="D11" s="3" t="s">
        <v>91</v>
      </c>
      <c r="E11" s="3" t="s">
        <v>92</v>
      </c>
      <c r="F11" s="5" t="n">
        <v>100</v>
      </c>
      <c r="G11" s="3" t="s">
        <v>28</v>
      </c>
      <c r="H11" s="3" t="s">
        <v>29</v>
      </c>
      <c r="I11" s="6" t="n">
        <v>460.23</v>
      </c>
      <c r="J11" s="6" t="n">
        <v>443.78</v>
      </c>
      <c r="K11" s="7" t="n">
        <f aca="false">I11-J11</f>
        <v>16.45</v>
      </c>
      <c r="L11" s="6" t="n">
        <v>126.21</v>
      </c>
      <c r="M11" s="3" t="s">
        <v>93</v>
      </c>
      <c r="N11" s="3" t="s">
        <v>31</v>
      </c>
      <c r="O11" s="3" t="s">
        <v>94</v>
      </c>
      <c r="P11" s="4" t="s">
        <v>95</v>
      </c>
      <c r="Q11" s="4" t="s">
        <v>61</v>
      </c>
      <c r="R11" s="3" t="s">
        <v>35</v>
      </c>
      <c r="S11" s="3" t="s">
        <v>36</v>
      </c>
      <c r="T11" s="8" t="n">
        <v>1</v>
      </c>
      <c r="U11" s="9" t="n">
        <v>0</v>
      </c>
      <c r="V11" s="4" t="s">
        <v>37</v>
      </c>
    </row>
    <row r="12" customFormat="false" ht="15" hidden="false" customHeight="false" outlineLevel="0" collapsed="false">
      <c r="A12" s="10" t="s">
        <v>96</v>
      </c>
      <c r="B12" s="11" t="s">
        <v>97</v>
      </c>
      <c r="C12" s="10" t="s">
        <v>25</v>
      </c>
      <c r="D12" s="10" t="s">
        <v>98</v>
      </c>
      <c r="E12" s="10" t="s">
        <v>65</v>
      </c>
      <c r="F12" s="12" t="n">
        <v>300</v>
      </c>
      <c r="G12" s="10" t="s">
        <v>41</v>
      </c>
      <c r="H12" s="10" t="s">
        <v>29</v>
      </c>
      <c r="I12" s="6" t="n">
        <v>1261.56</v>
      </c>
      <c r="J12" s="6" t="n">
        <v>1233.51</v>
      </c>
      <c r="K12" s="7" t="n">
        <f aca="false">I12-J12</f>
        <v>28.05</v>
      </c>
      <c r="L12" s="6" t="n">
        <v>317.87</v>
      </c>
      <c r="M12" s="10" t="s">
        <v>99</v>
      </c>
      <c r="N12" s="10" t="s">
        <v>31</v>
      </c>
      <c r="O12" s="10" t="s">
        <v>100</v>
      </c>
      <c r="P12" s="11" t="s">
        <v>95</v>
      </c>
      <c r="Q12" s="11" t="s">
        <v>101</v>
      </c>
      <c r="R12" s="10" t="s">
        <v>35</v>
      </c>
      <c r="S12" s="10" t="s">
        <v>36</v>
      </c>
      <c r="T12" s="8" t="n">
        <v>1</v>
      </c>
      <c r="U12" s="13" t="n">
        <v>0</v>
      </c>
      <c r="V12" s="11" t="s">
        <v>37</v>
      </c>
    </row>
    <row r="13" customFormat="false" ht="15" hidden="false" customHeight="false" outlineLevel="0" collapsed="false">
      <c r="A13" s="3" t="s">
        <v>102</v>
      </c>
      <c r="B13" s="4" t="s">
        <v>103</v>
      </c>
      <c r="C13" s="3" t="s">
        <v>25</v>
      </c>
      <c r="D13" s="3" t="s">
        <v>104</v>
      </c>
      <c r="E13" s="3" t="s">
        <v>50</v>
      </c>
      <c r="F13" s="5" t="n">
        <v>250</v>
      </c>
      <c r="G13" s="3" t="s">
        <v>28</v>
      </c>
      <c r="H13" s="3" t="s">
        <v>29</v>
      </c>
      <c r="I13" s="6" t="n">
        <v>1199.57</v>
      </c>
      <c r="J13" s="6" t="n">
        <v>1119.11</v>
      </c>
      <c r="K13" s="7" t="n">
        <f aca="false">I13-J13</f>
        <v>80.46</v>
      </c>
      <c r="L13" s="6" t="n">
        <v>330.3</v>
      </c>
      <c r="M13" s="3" t="s">
        <v>105</v>
      </c>
      <c r="N13" s="3" t="s">
        <v>31</v>
      </c>
      <c r="O13" s="3" t="s">
        <v>106</v>
      </c>
      <c r="P13" s="4" t="s">
        <v>81</v>
      </c>
      <c r="Q13" s="4" t="s">
        <v>34</v>
      </c>
      <c r="R13" s="3" t="s">
        <v>35</v>
      </c>
      <c r="S13" s="3" t="s">
        <v>36</v>
      </c>
      <c r="T13" s="8" t="n">
        <v>1</v>
      </c>
      <c r="U13" s="9" t="n">
        <v>0</v>
      </c>
      <c r="V13" s="4" t="s">
        <v>37</v>
      </c>
    </row>
    <row r="14" customFormat="false" ht="15" hidden="false" customHeight="false" outlineLevel="0" collapsed="false">
      <c r="A14" s="10" t="s">
        <v>107</v>
      </c>
      <c r="B14" s="11" t="s">
        <v>108</v>
      </c>
      <c r="C14" s="10" t="s">
        <v>25</v>
      </c>
      <c r="D14" s="10" t="s">
        <v>109</v>
      </c>
      <c r="E14" s="10" t="s">
        <v>92</v>
      </c>
      <c r="F14" s="12" t="n">
        <v>500</v>
      </c>
      <c r="G14" s="10" t="s">
        <v>41</v>
      </c>
      <c r="H14" s="10" t="s">
        <v>29</v>
      </c>
      <c r="I14" s="6" t="n">
        <v>2146.34</v>
      </c>
      <c r="J14" s="6" t="n">
        <v>2125.39</v>
      </c>
      <c r="K14" s="7" t="n">
        <f aca="false">I14-J14</f>
        <v>20.9500000000003</v>
      </c>
      <c r="L14" s="6" t="n">
        <v>589.59</v>
      </c>
      <c r="M14" s="10" t="s">
        <v>110</v>
      </c>
      <c r="N14" s="10" t="s">
        <v>31</v>
      </c>
      <c r="O14" s="10" t="s">
        <v>111</v>
      </c>
      <c r="P14" s="11" t="s">
        <v>112</v>
      </c>
      <c r="Q14" s="11" t="s">
        <v>101</v>
      </c>
      <c r="R14" s="10" t="s">
        <v>35</v>
      </c>
      <c r="S14" s="10" t="s">
        <v>36</v>
      </c>
      <c r="T14" s="8" t="n">
        <v>1</v>
      </c>
      <c r="U14" s="13" t="n">
        <v>0</v>
      </c>
      <c r="V14" s="11" t="s">
        <v>37</v>
      </c>
    </row>
    <row r="15" customFormat="false" ht="15" hidden="false" customHeight="false" outlineLevel="0" collapsed="false">
      <c r="A15" s="3" t="s">
        <v>113</v>
      </c>
      <c r="B15" s="4" t="s">
        <v>114</v>
      </c>
      <c r="C15" s="3" t="s">
        <v>25</v>
      </c>
      <c r="D15" s="3" t="s">
        <v>115</v>
      </c>
      <c r="E15" s="3" t="s">
        <v>50</v>
      </c>
      <c r="F15" s="5" t="n">
        <v>150</v>
      </c>
      <c r="G15" s="3" t="s">
        <v>41</v>
      </c>
      <c r="H15" s="3" t="s">
        <v>29</v>
      </c>
      <c r="I15" s="6" t="n">
        <v>756.64</v>
      </c>
      <c r="J15" s="6" t="n">
        <v>732.83</v>
      </c>
      <c r="K15" s="7" t="n">
        <f aca="false">I15-J15</f>
        <v>23.8099999999999</v>
      </c>
      <c r="L15" s="6" t="n">
        <v>209.16</v>
      </c>
      <c r="M15" s="3" t="s">
        <v>116</v>
      </c>
      <c r="N15" s="3" t="s">
        <v>31</v>
      </c>
      <c r="O15" s="3" t="s">
        <v>117</v>
      </c>
      <c r="P15" s="4" t="s">
        <v>118</v>
      </c>
      <c r="Q15" s="4" t="s">
        <v>82</v>
      </c>
      <c r="R15" s="3" t="s">
        <v>35</v>
      </c>
      <c r="S15" s="3" t="s">
        <v>36</v>
      </c>
      <c r="T15" s="8" t="n">
        <v>1</v>
      </c>
      <c r="U15" s="9" t="n">
        <v>0</v>
      </c>
      <c r="V15" s="4" t="s">
        <v>37</v>
      </c>
    </row>
    <row r="16" customFormat="false" ht="15" hidden="false" customHeight="false" outlineLevel="0" collapsed="false">
      <c r="A16" s="10" t="s">
        <v>119</v>
      </c>
      <c r="B16" s="11" t="s">
        <v>120</v>
      </c>
      <c r="C16" s="10" t="s">
        <v>25</v>
      </c>
      <c r="D16" s="10" t="s">
        <v>121</v>
      </c>
      <c r="E16" s="10" t="s">
        <v>27</v>
      </c>
      <c r="F16" s="12" t="n">
        <v>300</v>
      </c>
      <c r="G16" s="10" t="s">
        <v>41</v>
      </c>
      <c r="H16" s="10" t="s">
        <v>29</v>
      </c>
      <c r="I16" s="6" t="n">
        <v>1367.85</v>
      </c>
      <c r="J16" s="6" t="n">
        <v>1295.42</v>
      </c>
      <c r="K16" s="7" t="n">
        <f aca="false">I16-J16</f>
        <v>72.4299999999998</v>
      </c>
      <c r="L16" s="6" t="n">
        <v>326.68</v>
      </c>
      <c r="M16" s="10" t="s">
        <v>122</v>
      </c>
      <c r="N16" s="10" t="s">
        <v>31</v>
      </c>
      <c r="O16" s="10" t="s">
        <v>123</v>
      </c>
      <c r="P16" s="11" t="s">
        <v>81</v>
      </c>
      <c r="Q16" s="11" t="s">
        <v>54</v>
      </c>
      <c r="R16" s="10" t="s">
        <v>35</v>
      </c>
      <c r="S16" s="10" t="s">
        <v>36</v>
      </c>
      <c r="T16" s="8" t="n">
        <v>1</v>
      </c>
      <c r="U16" s="13" t="n">
        <v>0</v>
      </c>
      <c r="V16" s="11" t="s">
        <v>37</v>
      </c>
    </row>
    <row r="17" customFormat="false" ht="15" hidden="false" customHeight="false" outlineLevel="0" collapsed="false">
      <c r="A17" s="3" t="s">
        <v>124</v>
      </c>
      <c r="B17" s="4" t="s">
        <v>125</v>
      </c>
      <c r="C17" s="3" t="s">
        <v>25</v>
      </c>
      <c r="D17" s="3" t="s">
        <v>126</v>
      </c>
      <c r="E17" s="3" t="s">
        <v>78</v>
      </c>
      <c r="F17" s="5" t="n">
        <v>50</v>
      </c>
      <c r="G17" s="3" t="s">
        <v>28</v>
      </c>
      <c r="H17" s="3" t="s">
        <v>29</v>
      </c>
      <c r="I17" s="6" t="n">
        <v>215.39</v>
      </c>
      <c r="J17" s="6" t="n">
        <v>198.7</v>
      </c>
      <c r="K17" s="7" t="n">
        <f aca="false">I17-J17</f>
        <v>16.69</v>
      </c>
      <c r="L17" s="6" t="n">
        <v>45.89</v>
      </c>
      <c r="M17" s="3" t="s">
        <v>127</v>
      </c>
      <c r="N17" s="3" t="s">
        <v>31</v>
      </c>
      <c r="O17" s="3" t="s">
        <v>128</v>
      </c>
      <c r="P17" s="4" t="s">
        <v>118</v>
      </c>
      <c r="Q17" s="4" t="s">
        <v>45</v>
      </c>
      <c r="R17" s="3" t="s">
        <v>35</v>
      </c>
      <c r="S17" s="3" t="s">
        <v>36</v>
      </c>
      <c r="T17" s="8" t="n">
        <v>1</v>
      </c>
      <c r="U17" s="9" t="n">
        <v>0</v>
      </c>
      <c r="V17" s="4" t="s">
        <v>37</v>
      </c>
    </row>
    <row r="18" customFormat="false" ht="15" hidden="false" customHeight="false" outlineLevel="0" collapsed="false">
      <c r="A18" s="10" t="s">
        <v>129</v>
      </c>
      <c r="B18" s="11" t="s">
        <v>130</v>
      </c>
      <c r="C18" s="10" t="s">
        <v>25</v>
      </c>
      <c r="D18" s="10" t="s">
        <v>131</v>
      </c>
      <c r="E18" s="10" t="s">
        <v>50</v>
      </c>
      <c r="F18" s="12" t="n">
        <v>200</v>
      </c>
      <c r="G18" s="10" t="s">
        <v>28</v>
      </c>
      <c r="H18" s="10" t="s">
        <v>29</v>
      </c>
      <c r="I18" s="6" t="n">
        <v>1091.08</v>
      </c>
      <c r="J18" s="6" t="n">
        <v>1074.28</v>
      </c>
      <c r="K18" s="7" t="n">
        <f aca="false">I18-J18</f>
        <v>16.8</v>
      </c>
      <c r="L18" s="6" t="n">
        <v>217.17</v>
      </c>
      <c r="M18" s="10" t="s">
        <v>132</v>
      </c>
      <c r="N18" s="10" t="s">
        <v>31</v>
      </c>
      <c r="O18" s="10" t="s">
        <v>133</v>
      </c>
      <c r="P18" s="11" t="s">
        <v>33</v>
      </c>
      <c r="Q18" s="11" t="s">
        <v>34</v>
      </c>
      <c r="R18" s="10" t="s">
        <v>35</v>
      </c>
      <c r="S18" s="10" t="s">
        <v>36</v>
      </c>
      <c r="T18" s="8" t="n">
        <v>1</v>
      </c>
      <c r="U18" s="13" t="n">
        <v>0</v>
      </c>
      <c r="V18" s="11" t="s">
        <v>37</v>
      </c>
    </row>
    <row r="19" customFormat="false" ht="15" hidden="false" customHeight="false" outlineLevel="0" collapsed="false">
      <c r="A19" s="3" t="s">
        <v>134</v>
      </c>
      <c r="B19" s="4" t="s">
        <v>135</v>
      </c>
      <c r="C19" s="3" t="s">
        <v>25</v>
      </c>
      <c r="D19" s="3" t="s">
        <v>136</v>
      </c>
      <c r="E19" s="3" t="s">
        <v>65</v>
      </c>
      <c r="F19" s="5" t="n">
        <v>400</v>
      </c>
      <c r="G19" s="3" t="s">
        <v>51</v>
      </c>
      <c r="H19" s="3" t="s">
        <v>29</v>
      </c>
      <c r="I19" s="6" t="n">
        <v>1937.68</v>
      </c>
      <c r="J19" s="6" t="n">
        <v>1835.26</v>
      </c>
      <c r="K19" s="7" t="n">
        <f aca="false">I19-J19</f>
        <v>102.42</v>
      </c>
      <c r="L19" s="6" t="n">
        <v>515.75</v>
      </c>
      <c r="M19" s="3" t="s">
        <v>137</v>
      </c>
      <c r="N19" s="3" t="s">
        <v>31</v>
      </c>
      <c r="O19" s="3" t="s">
        <v>138</v>
      </c>
      <c r="P19" s="4" t="s">
        <v>60</v>
      </c>
      <c r="Q19" s="4" t="s">
        <v>54</v>
      </c>
      <c r="R19" s="3" t="s">
        <v>35</v>
      </c>
      <c r="S19" s="3" t="s">
        <v>36</v>
      </c>
      <c r="T19" s="8" t="n">
        <v>1</v>
      </c>
      <c r="U19" s="9" t="n">
        <v>0</v>
      </c>
      <c r="V19" s="4" t="s">
        <v>37</v>
      </c>
    </row>
    <row r="20" customFormat="false" ht="15" hidden="false" customHeight="false" outlineLevel="0" collapsed="false">
      <c r="A20" s="10" t="s">
        <v>139</v>
      </c>
      <c r="B20" s="11" t="s">
        <v>140</v>
      </c>
      <c r="C20" s="10" t="s">
        <v>25</v>
      </c>
      <c r="D20" s="10" t="s">
        <v>141</v>
      </c>
      <c r="E20" s="10" t="s">
        <v>50</v>
      </c>
      <c r="F20" s="12" t="n">
        <v>500</v>
      </c>
      <c r="G20" s="10" t="s">
        <v>51</v>
      </c>
      <c r="H20" s="10" t="s">
        <v>29</v>
      </c>
      <c r="I20" s="6" t="n">
        <v>2299.85</v>
      </c>
      <c r="J20" s="6" t="n">
        <v>2285.73</v>
      </c>
      <c r="K20" s="7" t="n">
        <f aca="false">I20-J20</f>
        <v>14.1199999999999</v>
      </c>
      <c r="L20" s="6" t="n">
        <v>515.89</v>
      </c>
      <c r="M20" s="10" t="s">
        <v>142</v>
      </c>
      <c r="N20" s="10" t="s">
        <v>31</v>
      </c>
      <c r="O20" s="10" t="s">
        <v>143</v>
      </c>
      <c r="P20" s="11" t="s">
        <v>44</v>
      </c>
      <c r="Q20" s="11" t="s">
        <v>144</v>
      </c>
      <c r="R20" s="10" t="s">
        <v>35</v>
      </c>
      <c r="S20" s="10" t="s">
        <v>36</v>
      </c>
      <c r="T20" s="8" t="n">
        <v>1</v>
      </c>
      <c r="U20" s="13" t="n">
        <v>0</v>
      </c>
      <c r="V20" s="11" t="s">
        <v>37</v>
      </c>
    </row>
    <row r="21" customFormat="false" ht="15" hidden="false" customHeight="false" outlineLevel="0" collapsed="false">
      <c r="A21" s="3" t="s">
        <v>145</v>
      </c>
      <c r="B21" s="4" t="s">
        <v>146</v>
      </c>
      <c r="C21" s="3" t="s">
        <v>25</v>
      </c>
      <c r="D21" s="3" t="s">
        <v>26</v>
      </c>
      <c r="E21" s="3" t="s">
        <v>27</v>
      </c>
      <c r="F21" s="5" t="n">
        <v>50</v>
      </c>
      <c r="G21" s="3" t="s">
        <v>51</v>
      </c>
      <c r="H21" s="3" t="s">
        <v>29</v>
      </c>
      <c r="I21" s="6" t="n">
        <v>248.51</v>
      </c>
      <c r="J21" s="6" t="n">
        <v>245.82</v>
      </c>
      <c r="K21" s="7" t="n">
        <f aca="false">I21-J21</f>
        <v>2.69</v>
      </c>
      <c r="L21" s="6" t="n">
        <v>67.16</v>
      </c>
      <c r="M21" s="3" t="s">
        <v>147</v>
      </c>
      <c r="N21" s="3" t="s">
        <v>31</v>
      </c>
      <c r="O21" s="3" t="s">
        <v>148</v>
      </c>
      <c r="P21" s="4" t="s">
        <v>33</v>
      </c>
      <c r="Q21" s="4" t="s">
        <v>69</v>
      </c>
      <c r="R21" s="3" t="s">
        <v>35</v>
      </c>
      <c r="S21" s="3" t="s">
        <v>36</v>
      </c>
      <c r="T21" s="8" t="n">
        <v>1</v>
      </c>
      <c r="U21" s="9" t="n">
        <v>0</v>
      </c>
      <c r="V21" s="4" t="s">
        <v>37</v>
      </c>
    </row>
    <row r="22" customFormat="false" ht="15" hidden="false" customHeight="false" outlineLevel="0" collapsed="false">
      <c r="A22" s="10" t="s">
        <v>149</v>
      </c>
      <c r="B22" s="11" t="s">
        <v>150</v>
      </c>
      <c r="C22" s="10" t="s">
        <v>25</v>
      </c>
      <c r="D22" s="10" t="s">
        <v>40</v>
      </c>
      <c r="E22" s="10" t="s">
        <v>27</v>
      </c>
      <c r="F22" s="12" t="n">
        <v>400</v>
      </c>
      <c r="G22" s="10" t="s">
        <v>41</v>
      </c>
      <c r="H22" s="10" t="s">
        <v>29</v>
      </c>
      <c r="I22" s="6" t="n">
        <v>2125.82</v>
      </c>
      <c r="J22" s="6" t="n">
        <v>2079.99</v>
      </c>
      <c r="K22" s="7" t="n">
        <f aca="false">I22-J22</f>
        <v>45.8300000000004</v>
      </c>
      <c r="L22" s="6" t="n">
        <v>549.18</v>
      </c>
      <c r="M22" s="10" t="s">
        <v>151</v>
      </c>
      <c r="N22" s="10" t="s">
        <v>31</v>
      </c>
      <c r="O22" s="10" t="s">
        <v>152</v>
      </c>
      <c r="P22" s="11" t="s">
        <v>153</v>
      </c>
      <c r="Q22" s="11" t="s">
        <v>54</v>
      </c>
      <c r="R22" s="10" t="s">
        <v>35</v>
      </c>
      <c r="S22" s="10" t="s">
        <v>46</v>
      </c>
      <c r="T22" s="8" t="n">
        <v>1</v>
      </c>
      <c r="U22" s="13" t="n">
        <v>0</v>
      </c>
      <c r="V22" s="11" t="s">
        <v>37</v>
      </c>
    </row>
    <row r="23" customFormat="false" ht="15" hidden="false" customHeight="false" outlineLevel="0" collapsed="false">
      <c r="A23" s="3" t="s">
        <v>154</v>
      </c>
      <c r="B23" s="4" t="s">
        <v>155</v>
      </c>
      <c r="C23" s="3" t="s">
        <v>25</v>
      </c>
      <c r="D23" s="3" t="s">
        <v>49</v>
      </c>
      <c r="E23" s="3" t="s">
        <v>50</v>
      </c>
      <c r="F23" s="5" t="n">
        <v>250</v>
      </c>
      <c r="G23" s="3" t="s">
        <v>51</v>
      </c>
      <c r="H23" s="3" t="s">
        <v>29</v>
      </c>
      <c r="I23" s="6" t="n">
        <v>1072.87</v>
      </c>
      <c r="J23" s="6" t="n">
        <v>1037.18</v>
      </c>
      <c r="K23" s="7" t="n">
        <f aca="false">I23-J23</f>
        <v>35.6899999999998</v>
      </c>
      <c r="L23" s="6" t="n">
        <v>247.07</v>
      </c>
      <c r="M23" s="3" t="s">
        <v>156</v>
      </c>
      <c r="N23" s="3" t="s">
        <v>31</v>
      </c>
      <c r="O23" s="3" t="s">
        <v>157</v>
      </c>
      <c r="P23" s="4" t="s">
        <v>44</v>
      </c>
      <c r="Q23" s="4" t="s">
        <v>144</v>
      </c>
      <c r="R23" s="3" t="s">
        <v>35</v>
      </c>
      <c r="S23" s="3" t="s">
        <v>36</v>
      </c>
      <c r="T23" s="8" t="n">
        <v>1</v>
      </c>
      <c r="U23" s="9" t="n">
        <v>0</v>
      </c>
      <c r="V23" s="4" t="s">
        <v>37</v>
      </c>
    </row>
    <row r="24" customFormat="false" ht="15" hidden="false" customHeight="false" outlineLevel="0" collapsed="false">
      <c r="A24" s="10" t="s">
        <v>158</v>
      </c>
      <c r="B24" s="11" t="s">
        <v>159</v>
      </c>
      <c r="C24" s="10" t="s">
        <v>25</v>
      </c>
      <c r="D24" s="10" t="s">
        <v>57</v>
      </c>
      <c r="E24" s="10" t="s">
        <v>50</v>
      </c>
      <c r="F24" s="12" t="n">
        <v>100</v>
      </c>
      <c r="G24" s="10" t="s">
        <v>28</v>
      </c>
      <c r="H24" s="10" t="s">
        <v>29</v>
      </c>
      <c r="I24" s="6" t="n">
        <v>557.89</v>
      </c>
      <c r="J24" s="6" t="n">
        <v>531.28</v>
      </c>
      <c r="K24" s="7" t="n">
        <f aca="false">I24-J24</f>
        <v>26.61</v>
      </c>
      <c r="L24" s="6" t="n">
        <v>152.95</v>
      </c>
      <c r="M24" s="10" t="s">
        <v>160</v>
      </c>
      <c r="N24" s="10" t="s">
        <v>31</v>
      </c>
      <c r="O24" s="10" t="s">
        <v>161</v>
      </c>
      <c r="P24" s="11" t="s">
        <v>81</v>
      </c>
      <c r="Q24" s="11" t="s">
        <v>88</v>
      </c>
      <c r="R24" s="10" t="s">
        <v>35</v>
      </c>
      <c r="S24" s="10" t="s">
        <v>36</v>
      </c>
      <c r="T24" s="8" t="n">
        <v>1</v>
      </c>
      <c r="U24" s="13" t="n">
        <v>0</v>
      </c>
      <c r="V24" s="11" t="s">
        <v>37</v>
      </c>
    </row>
    <row r="25" customFormat="false" ht="15" hidden="false" customHeight="false" outlineLevel="0" collapsed="false">
      <c r="A25" s="3" t="s">
        <v>162</v>
      </c>
      <c r="B25" s="4" t="s">
        <v>163</v>
      </c>
      <c r="C25" s="3" t="s">
        <v>25</v>
      </c>
      <c r="D25" s="3" t="s">
        <v>64</v>
      </c>
      <c r="E25" s="3" t="s">
        <v>65</v>
      </c>
      <c r="F25" s="5" t="n">
        <v>50</v>
      </c>
      <c r="G25" s="3" t="s">
        <v>28</v>
      </c>
      <c r="H25" s="3" t="s">
        <v>29</v>
      </c>
      <c r="I25" s="6" t="n">
        <v>284.78</v>
      </c>
      <c r="J25" s="6" t="n">
        <v>266.65</v>
      </c>
      <c r="K25" s="7" t="n">
        <f aca="false">I25-J25</f>
        <v>18.13</v>
      </c>
      <c r="L25" s="6" t="n">
        <v>71.66</v>
      </c>
      <c r="M25" s="3" t="s">
        <v>164</v>
      </c>
      <c r="N25" s="3" t="s">
        <v>31</v>
      </c>
      <c r="O25" s="3" t="s">
        <v>165</v>
      </c>
      <c r="P25" s="4" t="s">
        <v>118</v>
      </c>
      <c r="Q25" s="4" t="s">
        <v>82</v>
      </c>
      <c r="R25" s="3" t="s">
        <v>35</v>
      </c>
      <c r="S25" s="3" t="s">
        <v>36</v>
      </c>
      <c r="T25" s="8" t="n">
        <v>1</v>
      </c>
      <c r="U25" s="9" t="n">
        <v>0</v>
      </c>
      <c r="V25" s="4" t="s">
        <v>37</v>
      </c>
    </row>
    <row r="26" customFormat="false" ht="15" hidden="false" customHeight="false" outlineLevel="0" collapsed="false">
      <c r="A26" s="10" t="s">
        <v>166</v>
      </c>
      <c r="B26" s="11" t="s">
        <v>167</v>
      </c>
      <c r="C26" s="10" t="s">
        <v>25</v>
      </c>
      <c r="D26" s="10" t="s">
        <v>72</v>
      </c>
      <c r="E26" s="10" t="s">
        <v>65</v>
      </c>
      <c r="F26" s="12" t="n">
        <v>150</v>
      </c>
      <c r="G26" s="10" t="s">
        <v>41</v>
      </c>
      <c r="H26" s="10" t="s">
        <v>29</v>
      </c>
      <c r="I26" s="6" t="n">
        <v>632.24</v>
      </c>
      <c r="J26" s="6" t="n">
        <v>613.08</v>
      </c>
      <c r="K26" s="7" t="n">
        <f aca="false">I26-J26</f>
        <v>19.16</v>
      </c>
      <c r="L26" s="6" t="n">
        <v>149.4</v>
      </c>
      <c r="M26" s="10" t="s">
        <v>168</v>
      </c>
      <c r="N26" s="10" t="s">
        <v>31</v>
      </c>
      <c r="O26" s="10" t="s">
        <v>169</v>
      </c>
      <c r="P26" s="11" t="s">
        <v>170</v>
      </c>
      <c r="Q26" s="11" t="s">
        <v>144</v>
      </c>
      <c r="R26" s="10" t="s">
        <v>35</v>
      </c>
      <c r="S26" s="10" t="s">
        <v>36</v>
      </c>
      <c r="T26" s="8" t="n">
        <v>1</v>
      </c>
      <c r="U26" s="13" t="n">
        <v>0</v>
      </c>
      <c r="V26" s="11" t="s">
        <v>37</v>
      </c>
    </row>
    <row r="27" customFormat="false" ht="15" hidden="false" customHeight="false" outlineLevel="0" collapsed="false">
      <c r="A27" s="3" t="s">
        <v>171</v>
      </c>
      <c r="B27" s="4" t="s">
        <v>172</v>
      </c>
      <c r="C27" s="3" t="s">
        <v>25</v>
      </c>
      <c r="D27" s="3" t="s">
        <v>77</v>
      </c>
      <c r="E27" s="3" t="s">
        <v>78</v>
      </c>
      <c r="F27" s="5" t="n">
        <v>200</v>
      </c>
      <c r="G27" s="3" t="s">
        <v>41</v>
      </c>
      <c r="H27" s="3" t="s">
        <v>29</v>
      </c>
      <c r="I27" s="6" t="n">
        <v>958.25</v>
      </c>
      <c r="J27" s="6" t="n">
        <v>893.68</v>
      </c>
      <c r="K27" s="7" t="n">
        <f aca="false">I27-J27</f>
        <v>64.5700000000001</v>
      </c>
      <c r="L27" s="6" t="n">
        <v>252.38</v>
      </c>
      <c r="M27" s="3" t="s">
        <v>173</v>
      </c>
      <c r="N27" s="3" t="s">
        <v>31</v>
      </c>
      <c r="O27" s="3" t="s">
        <v>174</v>
      </c>
      <c r="P27" s="4" t="s">
        <v>81</v>
      </c>
      <c r="Q27" s="4" t="s">
        <v>144</v>
      </c>
      <c r="R27" s="3" t="s">
        <v>35</v>
      </c>
      <c r="S27" s="3" t="s">
        <v>46</v>
      </c>
      <c r="T27" s="8" t="n">
        <v>1</v>
      </c>
      <c r="U27" s="9" t="n">
        <v>0</v>
      </c>
      <c r="V27" s="4" t="s">
        <v>37</v>
      </c>
    </row>
    <row r="28" customFormat="false" ht="15" hidden="false" customHeight="false" outlineLevel="0" collapsed="false">
      <c r="A28" s="10" t="s">
        <v>175</v>
      </c>
      <c r="B28" s="11" t="s">
        <v>176</v>
      </c>
      <c r="C28" s="10" t="s">
        <v>25</v>
      </c>
      <c r="D28" s="10" t="s">
        <v>85</v>
      </c>
      <c r="E28" s="10" t="s">
        <v>65</v>
      </c>
      <c r="F28" s="12" t="n">
        <v>50</v>
      </c>
      <c r="G28" s="10" t="s">
        <v>41</v>
      </c>
      <c r="H28" s="10" t="s">
        <v>29</v>
      </c>
      <c r="I28" s="6" t="n">
        <v>231.16</v>
      </c>
      <c r="J28" s="6" t="n">
        <v>229.12</v>
      </c>
      <c r="K28" s="7" t="n">
        <f aca="false">I28-J28</f>
        <v>2.03999999999999</v>
      </c>
      <c r="L28" s="6" t="n">
        <v>58.77</v>
      </c>
      <c r="M28" s="10" t="s">
        <v>177</v>
      </c>
      <c r="N28" s="10" t="s">
        <v>31</v>
      </c>
      <c r="O28" s="10" t="s">
        <v>178</v>
      </c>
      <c r="P28" s="11" t="s">
        <v>118</v>
      </c>
      <c r="Q28" s="11" t="s">
        <v>61</v>
      </c>
      <c r="R28" s="10" t="s">
        <v>35</v>
      </c>
      <c r="S28" s="10" t="s">
        <v>36</v>
      </c>
      <c r="T28" s="8" t="n">
        <v>1</v>
      </c>
      <c r="U28" s="13" t="n">
        <v>0</v>
      </c>
      <c r="V28" s="11" t="s">
        <v>37</v>
      </c>
    </row>
    <row r="29" customFormat="false" ht="15" hidden="false" customHeight="false" outlineLevel="0" collapsed="false">
      <c r="A29" s="3" t="s">
        <v>179</v>
      </c>
      <c r="B29" s="4" t="s">
        <v>180</v>
      </c>
      <c r="C29" s="3" t="s">
        <v>25</v>
      </c>
      <c r="D29" s="3" t="s">
        <v>91</v>
      </c>
      <c r="E29" s="3" t="s">
        <v>92</v>
      </c>
      <c r="F29" s="5" t="n">
        <v>200</v>
      </c>
      <c r="G29" s="3" t="s">
        <v>28</v>
      </c>
      <c r="H29" s="3" t="s">
        <v>29</v>
      </c>
      <c r="I29" s="6" t="n">
        <v>996.33</v>
      </c>
      <c r="J29" s="6" t="n">
        <v>988.78</v>
      </c>
      <c r="K29" s="7" t="n">
        <f aca="false">I29-J29</f>
        <v>7.55000000000007</v>
      </c>
      <c r="L29" s="6" t="n">
        <v>263.64</v>
      </c>
      <c r="M29" s="3" t="s">
        <v>181</v>
      </c>
      <c r="N29" s="3" t="s">
        <v>31</v>
      </c>
      <c r="O29" s="3" t="s">
        <v>73</v>
      </c>
      <c r="P29" s="4" t="s">
        <v>33</v>
      </c>
      <c r="Q29" s="4" t="s">
        <v>61</v>
      </c>
      <c r="R29" s="3" t="s">
        <v>35</v>
      </c>
      <c r="S29" s="3" t="s">
        <v>36</v>
      </c>
      <c r="T29" s="8" t="n">
        <v>1</v>
      </c>
      <c r="U29" s="9" t="n">
        <v>0</v>
      </c>
      <c r="V29" s="4" t="s">
        <v>37</v>
      </c>
    </row>
    <row r="30" customFormat="false" ht="15" hidden="false" customHeight="false" outlineLevel="0" collapsed="false">
      <c r="A30" s="10" t="s">
        <v>182</v>
      </c>
      <c r="B30" s="11" t="s">
        <v>183</v>
      </c>
      <c r="C30" s="10" t="s">
        <v>25</v>
      </c>
      <c r="D30" s="10" t="s">
        <v>98</v>
      </c>
      <c r="E30" s="10" t="s">
        <v>65</v>
      </c>
      <c r="F30" s="12" t="n">
        <v>50</v>
      </c>
      <c r="G30" s="10" t="s">
        <v>51</v>
      </c>
      <c r="H30" s="10" t="s">
        <v>29</v>
      </c>
      <c r="I30" s="6" t="n">
        <v>269.3</v>
      </c>
      <c r="J30" s="6" t="n">
        <v>259.64</v>
      </c>
      <c r="K30" s="7" t="n">
        <f aca="false">I30-J30</f>
        <v>9.66000000000003</v>
      </c>
      <c r="L30" s="6" t="n">
        <v>59.99</v>
      </c>
      <c r="M30" s="10" t="s">
        <v>184</v>
      </c>
      <c r="N30" s="10" t="s">
        <v>31</v>
      </c>
      <c r="O30" s="10" t="s">
        <v>185</v>
      </c>
      <c r="P30" s="11" t="s">
        <v>170</v>
      </c>
      <c r="Q30" s="11" t="s">
        <v>101</v>
      </c>
      <c r="R30" s="10" t="s">
        <v>35</v>
      </c>
      <c r="S30" s="10" t="s">
        <v>36</v>
      </c>
      <c r="T30" s="8" t="n">
        <v>1</v>
      </c>
      <c r="U30" s="13" t="n">
        <v>0</v>
      </c>
      <c r="V30" s="11" t="s">
        <v>37</v>
      </c>
    </row>
    <row r="31" customFormat="false" ht="15" hidden="false" customHeight="false" outlineLevel="0" collapsed="false">
      <c r="A31" s="3" t="s">
        <v>186</v>
      </c>
      <c r="B31" s="4" t="s">
        <v>187</v>
      </c>
      <c r="C31" s="3" t="s">
        <v>25</v>
      </c>
      <c r="D31" s="3" t="s">
        <v>104</v>
      </c>
      <c r="E31" s="3" t="s">
        <v>50</v>
      </c>
      <c r="F31" s="5" t="n">
        <v>150</v>
      </c>
      <c r="G31" s="3" t="s">
        <v>28</v>
      </c>
      <c r="H31" s="3" t="s">
        <v>29</v>
      </c>
      <c r="I31" s="6" t="n">
        <v>660.59</v>
      </c>
      <c r="J31" s="6" t="n">
        <v>624.03</v>
      </c>
      <c r="K31" s="7" t="n">
        <f aca="false">I31-J31</f>
        <v>36.5600000000001</v>
      </c>
      <c r="L31" s="6" t="n">
        <v>178.29</v>
      </c>
      <c r="M31" s="3" t="s">
        <v>188</v>
      </c>
      <c r="N31" s="3" t="s">
        <v>31</v>
      </c>
      <c r="O31" s="3" t="s">
        <v>189</v>
      </c>
      <c r="P31" s="4" t="s">
        <v>68</v>
      </c>
      <c r="Q31" s="4" t="s">
        <v>54</v>
      </c>
      <c r="R31" s="3" t="s">
        <v>35</v>
      </c>
      <c r="S31" s="3" t="s">
        <v>36</v>
      </c>
      <c r="T31" s="8" t="n">
        <v>1</v>
      </c>
      <c r="U31" s="9" t="n">
        <v>0</v>
      </c>
      <c r="V31" s="4" t="s">
        <v>37</v>
      </c>
    </row>
    <row r="32" customFormat="false" ht="15" hidden="false" customHeight="false" outlineLevel="0" collapsed="false">
      <c r="A32" s="10" t="s">
        <v>190</v>
      </c>
      <c r="B32" s="11" t="s">
        <v>191</v>
      </c>
      <c r="C32" s="10" t="s">
        <v>25</v>
      </c>
      <c r="D32" s="10" t="s">
        <v>109</v>
      </c>
      <c r="E32" s="10" t="s">
        <v>92</v>
      </c>
      <c r="F32" s="12" t="n">
        <v>200</v>
      </c>
      <c r="G32" s="10" t="s">
        <v>28</v>
      </c>
      <c r="H32" s="10" t="s">
        <v>29</v>
      </c>
      <c r="I32" s="6" t="n">
        <v>1079.83</v>
      </c>
      <c r="J32" s="6" t="n">
        <v>1073.42</v>
      </c>
      <c r="K32" s="7" t="n">
        <f aca="false">I32-J32</f>
        <v>6.40999999999985</v>
      </c>
      <c r="L32" s="6" t="n">
        <v>219.93</v>
      </c>
      <c r="M32" s="10" t="s">
        <v>192</v>
      </c>
      <c r="N32" s="10" t="s">
        <v>31</v>
      </c>
      <c r="O32" s="10" t="s">
        <v>148</v>
      </c>
      <c r="P32" s="11" t="s">
        <v>153</v>
      </c>
      <c r="Q32" s="11" t="s">
        <v>82</v>
      </c>
      <c r="R32" s="10" t="s">
        <v>35</v>
      </c>
      <c r="S32" s="10" t="s">
        <v>36</v>
      </c>
      <c r="T32" s="8" t="n">
        <v>1</v>
      </c>
      <c r="U32" s="13" t="n">
        <v>0</v>
      </c>
      <c r="V32" s="11" t="s">
        <v>37</v>
      </c>
    </row>
    <row r="33" customFormat="false" ht="15" hidden="false" customHeight="false" outlineLevel="0" collapsed="false">
      <c r="A33" s="14" t="s">
        <v>193</v>
      </c>
      <c r="B33" s="15" t="s">
        <v>194</v>
      </c>
      <c r="C33" s="14" t="s">
        <v>25</v>
      </c>
      <c r="D33" s="14" t="s">
        <v>115</v>
      </c>
      <c r="E33" s="14" t="s">
        <v>50</v>
      </c>
      <c r="F33" s="16" t="n">
        <v>50</v>
      </c>
      <c r="G33" s="14" t="s">
        <v>195</v>
      </c>
      <c r="H33" s="14" t="s">
        <v>196</v>
      </c>
      <c r="I33" s="6" t="n">
        <v>250.24</v>
      </c>
      <c r="J33" s="6" t="n">
        <v>163.73</v>
      </c>
      <c r="K33" s="7" t="n">
        <f aca="false">I33-J33</f>
        <v>86.51</v>
      </c>
      <c r="L33" s="6" t="n">
        <v>0</v>
      </c>
      <c r="M33" s="14" t="s">
        <v>197</v>
      </c>
      <c r="N33" s="14" t="s">
        <v>198</v>
      </c>
      <c r="O33" s="14" t="s">
        <v>31</v>
      </c>
      <c r="P33" s="15" t="s">
        <v>170</v>
      </c>
      <c r="Q33" s="15" t="s">
        <v>82</v>
      </c>
      <c r="R33" s="14" t="s">
        <v>199</v>
      </c>
      <c r="S33" s="14" t="s">
        <v>200</v>
      </c>
      <c r="T33" s="17" t="n">
        <v>0.51</v>
      </c>
      <c r="U33" s="18" t="n">
        <f aca="false">IF(N33="—",0,IF(M33="—",0,IFERROR(DATEVALUE(N33)-DATEVALUE(M33),0)))</f>
        <v>235</v>
      </c>
      <c r="V33" s="15" t="s">
        <v>201</v>
      </c>
    </row>
    <row r="34" customFormat="false" ht="15" hidden="false" customHeight="false" outlineLevel="0" collapsed="false">
      <c r="A34" s="19" t="s">
        <v>202</v>
      </c>
      <c r="B34" s="20" t="s">
        <v>203</v>
      </c>
      <c r="C34" s="19" t="s">
        <v>25</v>
      </c>
      <c r="D34" s="19" t="s">
        <v>121</v>
      </c>
      <c r="E34" s="19" t="s">
        <v>27</v>
      </c>
      <c r="F34" s="21" t="n">
        <v>500</v>
      </c>
      <c r="G34" s="19" t="s">
        <v>195</v>
      </c>
      <c r="H34" s="19" t="s">
        <v>196</v>
      </c>
      <c r="I34" s="6" t="n">
        <v>2615.4</v>
      </c>
      <c r="J34" s="6" t="n">
        <v>1907.22</v>
      </c>
      <c r="K34" s="7" t="n">
        <f aca="false">I34-J34</f>
        <v>708.18</v>
      </c>
      <c r="L34" s="6" t="n">
        <v>0</v>
      </c>
      <c r="M34" s="19" t="s">
        <v>204</v>
      </c>
      <c r="N34" s="19" t="s">
        <v>205</v>
      </c>
      <c r="O34" s="19" t="s">
        <v>31</v>
      </c>
      <c r="P34" s="20" t="s">
        <v>33</v>
      </c>
      <c r="Q34" s="20" t="s">
        <v>34</v>
      </c>
      <c r="R34" s="19" t="s">
        <v>206</v>
      </c>
      <c r="S34" s="19" t="s">
        <v>200</v>
      </c>
      <c r="T34" s="22" t="n">
        <v>0.48</v>
      </c>
      <c r="U34" s="23" t="n">
        <f aca="false">IF(N34="—",0,IF(M34="—",0,IFERROR(DATEVALUE(N34)-DATEVALUE(M34),0)))</f>
        <v>108</v>
      </c>
      <c r="V34" s="20" t="s">
        <v>207</v>
      </c>
    </row>
    <row r="35" customFormat="false" ht="15" hidden="false" customHeight="false" outlineLevel="0" collapsed="false">
      <c r="A35" s="14" t="s">
        <v>208</v>
      </c>
      <c r="B35" s="15" t="s">
        <v>209</v>
      </c>
      <c r="C35" s="14" t="s">
        <v>25</v>
      </c>
      <c r="D35" s="14" t="s">
        <v>126</v>
      </c>
      <c r="E35" s="14" t="s">
        <v>78</v>
      </c>
      <c r="F35" s="16" t="n">
        <v>100</v>
      </c>
      <c r="G35" s="14" t="s">
        <v>195</v>
      </c>
      <c r="H35" s="14" t="s">
        <v>196</v>
      </c>
      <c r="I35" s="6" t="n">
        <v>459.95</v>
      </c>
      <c r="J35" s="6" t="n">
        <v>363.19</v>
      </c>
      <c r="K35" s="7" t="n">
        <f aca="false">I35-J35</f>
        <v>96.76</v>
      </c>
      <c r="L35" s="6" t="n">
        <v>0</v>
      </c>
      <c r="M35" s="14" t="s">
        <v>198</v>
      </c>
      <c r="N35" s="14" t="s">
        <v>210</v>
      </c>
      <c r="O35" s="14" t="s">
        <v>31</v>
      </c>
      <c r="P35" s="15" t="s">
        <v>118</v>
      </c>
      <c r="Q35" s="15" t="s">
        <v>211</v>
      </c>
      <c r="R35" s="14" t="s">
        <v>206</v>
      </c>
      <c r="S35" s="14" t="s">
        <v>46</v>
      </c>
      <c r="T35" s="17" t="n">
        <v>0.62</v>
      </c>
      <c r="U35" s="18" t="n">
        <f aca="false">IF(N35="—",0,IF(M35="—",0,IFERROR(DATEVALUE(N35)-DATEVALUE(M35),0)))</f>
        <v>160</v>
      </c>
      <c r="V35" s="15" t="s">
        <v>207</v>
      </c>
    </row>
    <row r="36" customFormat="false" ht="15" hidden="false" customHeight="false" outlineLevel="0" collapsed="false">
      <c r="A36" s="19" t="s">
        <v>212</v>
      </c>
      <c r="B36" s="20" t="s">
        <v>213</v>
      </c>
      <c r="C36" s="19" t="s">
        <v>25</v>
      </c>
      <c r="D36" s="19" t="s">
        <v>131</v>
      </c>
      <c r="E36" s="19" t="s">
        <v>50</v>
      </c>
      <c r="F36" s="21" t="n">
        <v>50</v>
      </c>
      <c r="G36" s="19" t="s">
        <v>195</v>
      </c>
      <c r="H36" s="19" t="s">
        <v>196</v>
      </c>
      <c r="I36" s="6" t="n">
        <v>258.98</v>
      </c>
      <c r="J36" s="6" t="n">
        <v>126.9</v>
      </c>
      <c r="K36" s="7" t="n">
        <f aca="false">I36-J36</f>
        <v>132.08</v>
      </c>
      <c r="L36" s="6" t="n">
        <v>0</v>
      </c>
      <c r="M36" s="19" t="s">
        <v>214</v>
      </c>
      <c r="N36" s="19" t="s">
        <v>215</v>
      </c>
      <c r="O36" s="19" t="s">
        <v>31</v>
      </c>
      <c r="P36" s="20" t="s">
        <v>81</v>
      </c>
      <c r="Q36" s="20" t="s">
        <v>54</v>
      </c>
      <c r="R36" s="19" t="s">
        <v>206</v>
      </c>
      <c r="S36" s="19" t="s">
        <v>216</v>
      </c>
      <c r="T36" s="17" t="n">
        <v>0.85</v>
      </c>
      <c r="U36" s="23" t="n">
        <f aca="false">IF(N36="—",0,IF(M36="—",0,IFERROR(DATEVALUE(N36)-DATEVALUE(M36),0)))</f>
        <v>216</v>
      </c>
      <c r="V36" s="20" t="s">
        <v>207</v>
      </c>
    </row>
    <row r="37" customFormat="false" ht="15" hidden="false" customHeight="false" outlineLevel="0" collapsed="false">
      <c r="A37" s="14" t="s">
        <v>217</v>
      </c>
      <c r="B37" s="15" t="s">
        <v>218</v>
      </c>
      <c r="C37" s="14" t="s">
        <v>25</v>
      </c>
      <c r="D37" s="14" t="s">
        <v>136</v>
      </c>
      <c r="E37" s="14" t="s">
        <v>65</v>
      </c>
      <c r="F37" s="16" t="n">
        <v>50</v>
      </c>
      <c r="G37" s="14" t="s">
        <v>219</v>
      </c>
      <c r="H37" s="14" t="s">
        <v>196</v>
      </c>
      <c r="I37" s="6" t="n">
        <v>205.25</v>
      </c>
      <c r="J37" s="6" t="n">
        <v>126.3</v>
      </c>
      <c r="K37" s="7" t="n">
        <f aca="false">I37-J37</f>
        <v>78.95</v>
      </c>
      <c r="L37" s="6" t="n">
        <v>0</v>
      </c>
      <c r="M37" s="14" t="s">
        <v>220</v>
      </c>
      <c r="N37" s="14" t="s">
        <v>221</v>
      </c>
      <c r="O37" s="14" t="s">
        <v>31</v>
      </c>
      <c r="P37" s="15" t="s">
        <v>170</v>
      </c>
      <c r="Q37" s="15" t="s">
        <v>61</v>
      </c>
      <c r="R37" s="14" t="s">
        <v>222</v>
      </c>
      <c r="S37" s="14" t="s">
        <v>223</v>
      </c>
      <c r="T37" s="17" t="n">
        <v>0.62</v>
      </c>
      <c r="U37" s="18" t="n">
        <f aca="false">IF(N37="—",0,IF(M37="—",0,IFERROR(DATEVALUE(N37)-DATEVALUE(M37),0)))</f>
        <v>140</v>
      </c>
      <c r="V37" s="15" t="s">
        <v>207</v>
      </c>
    </row>
    <row r="38" customFormat="false" ht="15" hidden="false" customHeight="false" outlineLevel="0" collapsed="false">
      <c r="A38" s="19" t="s">
        <v>224</v>
      </c>
      <c r="B38" s="20" t="s">
        <v>225</v>
      </c>
      <c r="C38" s="19" t="s">
        <v>25</v>
      </c>
      <c r="D38" s="19" t="s">
        <v>141</v>
      </c>
      <c r="E38" s="19" t="s">
        <v>50</v>
      </c>
      <c r="F38" s="21" t="n">
        <v>400</v>
      </c>
      <c r="G38" s="19" t="s">
        <v>195</v>
      </c>
      <c r="H38" s="19" t="s">
        <v>196</v>
      </c>
      <c r="I38" s="6" t="n">
        <v>1715.1</v>
      </c>
      <c r="J38" s="6" t="n">
        <v>1056.01</v>
      </c>
      <c r="K38" s="7" t="n">
        <f aca="false">I38-J38</f>
        <v>659.09</v>
      </c>
      <c r="L38" s="6" t="n">
        <v>0</v>
      </c>
      <c r="M38" s="19" t="s">
        <v>226</v>
      </c>
      <c r="N38" s="19" t="s">
        <v>227</v>
      </c>
      <c r="O38" s="19" t="s">
        <v>31</v>
      </c>
      <c r="P38" s="20" t="s">
        <v>81</v>
      </c>
      <c r="Q38" s="20" t="s">
        <v>61</v>
      </c>
      <c r="R38" s="19" t="s">
        <v>228</v>
      </c>
      <c r="S38" s="19" t="s">
        <v>229</v>
      </c>
      <c r="T38" s="17" t="n">
        <v>0.68</v>
      </c>
      <c r="U38" s="23" t="n">
        <f aca="false">IF(N38="—",0,IF(M38="—",0,IFERROR(DATEVALUE(N38)-DATEVALUE(M38),0)))</f>
        <v>62</v>
      </c>
      <c r="V38" s="20" t="s">
        <v>230</v>
      </c>
    </row>
    <row r="39" customFormat="false" ht="15" hidden="false" customHeight="false" outlineLevel="0" collapsed="false">
      <c r="A39" s="14" t="s">
        <v>231</v>
      </c>
      <c r="B39" s="15" t="s">
        <v>232</v>
      </c>
      <c r="C39" s="14" t="s">
        <v>25</v>
      </c>
      <c r="D39" s="14" t="s">
        <v>26</v>
      </c>
      <c r="E39" s="14" t="s">
        <v>27</v>
      </c>
      <c r="F39" s="16" t="n">
        <v>50</v>
      </c>
      <c r="G39" s="14" t="s">
        <v>219</v>
      </c>
      <c r="H39" s="14" t="s">
        <v>196</v>
      </c>
      <c r="I39" s="6" t="n">
        <v>243.5</v>
      </c>
      <c r="J39" s="6" t="n">
        <v>148.56</v>
      </c>
      <c r="K39" s="7" t="n">
        <f aca="false">I39-J39</f>
        <v>94.94</v>
      </c>
      <c r="L39" s="6" t="n">
        <v>0</v>
      </c>
      <c r="M39" s="14" t="s">
        <v>233</v>
      </c>
      <c r="N39" s="14" t="s">
        <v>234</v>
      </c>
      <c r="O39" s="14" t="s">
        <v>31</v>
      </c>
      <c r="P39" s="15" t="s">
        <v>60</v>
      </c>
      <c r="Q39" s="15" t="s">
        <v>144</v>
      </c>
      <c r="R39" s="14" t="s">
        <v>235</v>
      </c>
      <c r="S39" s="14" t="s">
        <v>216</v>
      </c>
      <c r="T39" s="17" t="n">
        <v>0.79</v>
      </c>
      <c r="U39" s="18" t="n">
        <f aca="false">IF(N39="—",0,IF(M39="—",0,IFERROR(DATEVALUE(N39)-DATEVALUE(M39),0)))</f>
        <v>231</v>
      </c>
      <c r="V39" s="15" t="s">
        <v>236</v>
      </c>
    </row>
    <row r="40" customFormat="false" ht="15" hidden="false" customHeight="false" outlineLevel="0" collapsed="false">
      <c r="A40" s="19" t="s">
        <v>237</v>
      </c>
      <c r="B40" s="20" t="s">
        <v>238</v>
      </c>
      <c r="C40" s="19" t="s">
        <v>25</v>
      </c>
      <c r="D40" s="19" t="s">
        <v>40</v>
      </c>
      <c r="E40" s="19" t="s">
        <v>27</v>
      </c>
      <c r="F40" s="21" t="n">
        <v>150</v>
      </c>
      <c r="G40" s="19" t="s">
        <v>195</v>
      </c>
      <c r="H40" s="19" t="s">
        <v>196</v>
      </c>
      <c r="I40" s="6" t="n">
        <v>814.2</v>
      </c>
      <c r="J40" s="6" t="n">
        <v>308.73</v>
      </c>
      <c r="K40" s="7" t="n">
        <f aca="false">I40-J40</f>
        <v>505.47</v>
      </c>
      <c r="L40" s="6" t="n">
        <v>0</v>
      </c>
      <c r="M40" s="19" t="s">
        <v>239</v>
      </c>
      <c r="N40" s="19" t="s">
        <v>240</v>
      </c>
      <c r="O40" s="19" t="s">
        <v>31</v>
      </c>
      <c r="P40" s="20" t="s">
        <v>153</v>
      </c>
      <c r="Q40" s="20" t="s">
        <v>69</v>
      </c>
      <c r="R40" s="19" t="s">
        <v>228</v>
      </c>
      <c r="S40" s="19" t="s">
        <v>200</v>
      </c>
      <c r="T40" s="17" t="n">
        <v>0.59</v>
      </c>
      <c r="U40" s="23" t="n">
        <f aca="false">IF(N40="—",0,IF(M40="—",0,IFERROR(DATEVALUE(N40)-DATEVALUE(M40),0)))</f>
        <v>239</v>
      </c>
      <c r="V40" s="20" t="s">
        <v>201</v>
      </c>
    </row>
    <row r="41" customFormat="false" ht="15" hidden="false" customHeight="false" outlineLevel="0" collapsed="false">
      <c r="A41" s="14" t="s">
        <v>241</v>
      </c>
      <c r="B41" s="15" t="s">
        <v>242</v>
      </c>
      <c r="C41" s="14" t="s">
        <v>25</v>
      </c>
      <c r="D41" s="14" t="s">
        <v>49</v>
      </c>
      <c r="E41" s="14" t="s">
        <v>50</v>
      </c>
      <c r="F41" s="16" t="n">
        <v>200</v>
      </c>
      <c r="G41" s="14" t="s">
        <v>219</v>
      </c>
      <c r="H41" s="14" t="s">
        <v>196</v>
      </c>
      <c r="I41" s="6" t="n">
        <v>1065.84</v>
      </c>
      <c r="J41" s="6" t="n">
        <v>603.93</v>
      </c>
      <c r="K41" s="7" t="n">
        <f aca="false">I41-J41</f>
        <v>461.91</v>
      </c>
      <c r="L41" s="6" t="n">
        <v>0</v>
      </c>
      <c r="M41" s="14" t="s">
        <v>205</v>
      </c>
      <c r="N41" s="14" t="s">
        <v>243</v>
      </c>
      <c r="O41" s="14" t="s">
        <v>31</v>
      </c>
      <c r="P41" s="15" t="s">
        <v>60</v>
      </c>
      <c r="Q41" s="15" t="s">
        <v>211</v>
      </c>
      <c r="R41" s="14" t="s">
        <v>235</v>
      </c>
      <c r="S41" s="14" t="s">
        <v>216</v>
      </c>
      <c r="T41" s="17" t="n">
        <v>0.69</v>
      </c>
      <c r="U41" s="18" t="n">
        <f aca="false">IF(N41="—",0,IF(M41="—",0,IFERROR(DATEVALUE(N41)-DATEVALUE(M41),0)))</f>
        <v>136</v>
      </c>
      <c r="V41" s="15" t="s">
        <v>201</v>
      </c>
    </row>
    <row r="42" customFormat="false" ht="15" hidden="false" customHeight="false" outlineLevel="0" collapsed="false">
      <c r="A42" s="19" t="s">
        <v>244</v>
      </c>
      <c r="B42" s="20" t="s">
        <v>159</v>
      </c>
      <c r="C42" s="19" t="s">
        <v>25</v>
      </c>
      <c r="D42" s="19" t="s">
        <v>57</v>
      </c>
      <c r="E42" s="19" t="s">
        <v>50</v>
      </c>
      <c r="F42" s="21" t="n">
        <v>100</v>
      </c>
      <c r="G42" s="19" t="s">
        <v>219</v>
      </c>
      <c r="H42" s="19" t="s">
        <v>196</v>
      </c>
      <c r="I42" s="6" t="n">
        <v>469.68</v>
      </c>
      <c r="J42" s="6" t="n">
        <v>261.41</v>
      </c>
      <c r="K42" s="7" t="n">
        <f aca="false">I42-J42</f>
        <v>208.27</v>
      </c>
      <c r="L42" s="6" t="n">
        <v>0</v>
      </c>
      <c r="M42" s="19" t="s">
        <v>245</v>
      </c>
      <c r="N42" s="19" t="s">
        <v>246</v>
      </c>
      <c r="O42" s="19" t="s">
        <v>31</v>
      </c>
      <c r="P42" s="20" t="s">
        <v>112</v>
      </c>
      <c r="Q42" s="20" t="s">
        <v>144</v>
      </c>
      <c r="R42" s="19" t="s">
        <v>235</v>
      </c>
      <c r="S42" s="19" t="s">
        <v>200</v>
      </c>
      <c r="T42" s="22" t="n">
        <v>0.35</v>
      </c>
      <c r="U42" s="23" t="n">
        <f aca="false">IF(N42="—",0,IF(M42="—",0,IFERROR(DATEVALUE(N42)-DATEVALUE(M42),0)))</f>
        <v>162</v>
      </c>
      <c r="V42" s="20" t="s">
        <v>247</v>
      </c>
    </row>
    <row r="43" customFormat="false" ht="15" hidden="false" customHeight="false" outlineLevel="0" collapsed="false">
      <c r="A43" s="14" t="s">
        <v>248</v>
      </c>
      <c r="B43" s="15" t="s">
        <v>249</v>
      </c>
      <c r="C43" s="14" t="s">
        <v>25</v>
      </c>
      <c r="D43" s="14" t="s">
        <v>64</v>
      </c>
      <c r="E43" s="14" t="s">
        <v>65</v>
      </c>
      <c r="F43" s="16" t="n">
        <v>500</v>
      </c>
      <c r="G43" s="14" t="s">
        <v>195</v>
      </c>
      <c r="H43" s="14" t="s">
        <v>196</v>
      </c>
      <c r="I43" s="6" t="n">
        <v>2672.91</v>
      </c>
      <c r="J43" s="6" t="n">
        <v>1761.48</v>
      </c>
      <c r="K43" s="7" t="n">
        <f aca="false">I43-J43</f>
        <v>911.43</v>
      </c>
      <c r="L43" s="6" t="n">
        <v>0</v>
      </c>
      <c r="M43" s="14" t="s">
        <v>250</v>
      </c>
      <c r="N43" s="14" t="s">
        <v>251</v>
      </c>
      <c r="O43" s="14" t="s">
        <v>31</v>
      </c>
      <c r="P43" s="15" t="s">
        <v>60</v>
      </c>
      <c r="Q43" s="15" t="s">
        <v>61</v>
      </c>
      <c r="R43" s="14" t="s">
        <v>235</v>
      </c>
      <c r="S43" s="14" t="s">
        <v>223</v>
      </c>
      <c r="T43" s="17" t="n">
        <v>0.8</v>
      </c>
      <c r="U43" s="18" t="n">
        <f aca="false">IF(N43="—",0,IF(M43="—",0,IFERROR(DATEVALUE(N43)-DATEVALUE(M43),0)))</f>
        <v>144</v>
      </c>
      <c r="V43" s="15" t="s">
        <v>236</v>
      </c>
    </row>
    <row r="44" customFormat="false" ht="15" hidden="false" customHeight="false" outlineLevel="0" collapsed="false">
      <c r="A44" s="19" t="s">
        <v>252</v>
      </c>
      <c r="B44" s="20" t="s">
        <v>253</v>
      </c>
      <c r="C44" s="19" t="s">
        <v>25</v>
      </c>
      <c r="D44" s="19" t="s">
        <v>72</v>
      </c>
      <c r="E44" s="19" t="s">
        <v>65</v>
      </c>
      <c r="F44" s="21" t="n">
        <v>200</v>
      </c>
      <c r="G44" s="19" t="s">
        <v>219</v>
      </c>
      <c r="H44" s="19" t="s">
        <v>196</v>
      </c>
      <c r="I44" s="6" t="n">
        <v>881.51</v>
      </c>
      <c r="J44" s="6" t="n">
        <v>375.38</v>
      </c>
      <c r="K44" s="7" t="n">
        <f aca="false">I44-J44</f>
        <v>506.13</v>
      </c>
      <c r="L44" s="6" t="n">
        <v>0</v>
      </c>
      <c r="M44" s="19" t="s">
        <v>254</v>
      </c>
      <c r="N44" s="19" t="s">
        <v>255</v>
      </c>
      <c r="O44" s="19" t="s">
        <v>31</v>
      </c>
      <c r="P44" s="20" t="s">
        <v>60</v>
      </c>
      <c r="Q44" s="20" t="s">
        <v>82</v>
      </c>
      <c r="R44" s="19" t="s">
        <v>228</v>
      </c>
      <c r="S44" s="19" t="s">
        <v>200</v>
      </c>
      <c r="T44" s="22" t="n">
        <v>0.3</v>
      </c>
      <c r="U44" s="23" t="n">
        <f aca="false">IF(N44="—",0,IF(M44="—",0,IFERROR(DATEVALUE(N44)-DATEVALUE(M44),0)))</f>
        <v>90</v>
      </c>
      <c r="V44" s="20" t="s">
        <v>256</v>
      </c>
    </row>
    <row r="45" customFormat="false" ht="15" hidden="false" customHeight="false" outlineLevel="0" collapsed="false">
      <c r="A45" s="14" t="s">
        <v>257</v>
      </c>
      <c r="B45" s="15" t="s">
        <v>258</v>
      </c>
      <c r="C45" s="14" t="s">
        <v>25</v>
      </c>
      <c r="D45" s="14" t="s">
        <v>77</v>
      </c>
      <c r="E45" s="14" t="s">
        <v>78</v>
      </c>
      <c r="F45" s="16" t="n">
        <v>200</v>
      </c>
      <c r="G45" s="14" t="s">
        <v>195</v>
      </c>
      <c r="H45" s="14" t="s">
        <v>196</v>
      </c>
      <c r="I45" s="6" t="n">
        <v>939.78</v>
      </c>
      <c r="J45" s="6" t="n">
        <v>267.13</v>
      </c>
      <c r="K45" s="7" t="n">
        <f aca="false">I45-J45</f>
        <v>672.65</v>
      </c>
      <c r="L45" s="6" t="n">
        <v>0</v>
      </c>
      <c r="M45" s="14" t="s">
        <v>259</v>
      </c>
      <c r="N45" s="14" t="s">
        <v>260</v>
      </c>
      <c r="O45" s="14" t="s">
        <v>31</v>
      </c>
      <c r="P45" s="15" t="s">
        <v>44</v>
      </c>
      <c r="Q45" s="15" t="s">
        <v>88</v>
      </c>
      <c r="R45" s="14" t="s">
        <v>235</v>
      </c>
      <c r="S45" s="14" t="s">
        <v>229</v>
      </c>
      <c r="T45" s="17" t="n">
        <v>0.73</v>
      </c>
      <c r="U45" s="18" t="n">
        <f aca="false">IF(N45="—",0,IF(M45="—",0,IFERROR(DATEVALUE(N45)-DATEVALUE(M45),0)))</f>
        <v>168</v>
      </c>
      <c r="V45" s="15" t="s">
        <v>230</v>
      </c>
    </row>
    <row r="46" customFormat="false" ht="15" hidden="false" customHeight="false" outlineLevel="0" collapsed="false">
      <c r="A46" s="19" t="s">
        <v>261</v>
      </c>
      <c r="B46" s="20" t="s">
        <v>262</v>
      </c>
      <c r="C46" s="19" t="s">
        <v>25</v>
      </c>
      <c r="D46" s="19" t="s">
        <v>85</v>
      </c>
      <c r="E46" s="19" t="s">
        <v>65</v>
      </c>
      <c r="F46" s="21" t="n">
        <v>500</v>
      </c>
      <c r="G46" s="19" t="s">
        <v>195</v>
      </c>
      <c r="H46" s="19" t="s">
        <v>196</v>
      </c>
      <c r="I46" s="6" t="n">
        <v>2292.49</v>
      </c>
      <c r="J46" s="6" t="n">
        <v>1697.37</v>
      </c>
      <c r="K46" s="7" t="n">
        <f aca="false">I46-J46</f>
        <v>595.12</v>
      </c>
      <c r="L46" s="6" t="n">
        <v>0</v>
      </c>
      <c r="M46" s="19" t="s">
        <v>263</v>
      </c>
      <c r="N46" s="19" t="s">
        <v>264</v>
      </c>
      <c r="O46" s="19" t="s">
        <v>31</v>
      </c>
      <c r="P46" s="20" t="s">
        <v>81</v>
      </c>
      <c r="Q46" s="20" t="s">
        <v>54</v>
      </c>
      <c r="R46" s="19" t="s">
        <v>222</v>
      </c>
      <c r="S46" s="19" t="s">
        <v>229</v>
      </c>
      <c r="T46" s="17" t="n">
        <v>0.73</v>
      </c>
      <c r="U46" s="23" t="n">
        <f aca="false">IF(N46="—",0,IF(M46="—",0,IFERROR(DATEVALUE(N46)-DATEVALUE(M46),0)))</f>
        <v>222</v>
      </c>
      <c r="V46" s="20" t="s">
        <v>236</v>
      </c>
    </row>
    <row r="47" customFormat="false" ht="15" hidden="false" customHeight="false" outlineLevel="0" collapsed="false">
      <c r="A47" s="14" t="s">
        <v>265</v>
      </c>
      <c r="B47" s="15" t="s">
        <v>266</v>
      </c>
      <c r="C47" s="14" t="s">
        <v>25</v>
      </c>
      <c r="D47" s="14" t="s">
        <v>91</v>
      </c>
      <c r="E47" s="14" t="s">
        <v>92</v>
      </c>
      <c r="F47" s="16" t="n">
        <v>200</v>
      </c>
      <c r="G47" s="14" t="s">
        <v>195</v>
      </c>
      <c r="H47" s="14" t="s">
        <v>196</v>
      </c>
      <c r="I47" s="6" t="n">
        <v>900.84</v>
      </c>
      <c r="J47" s="6" t="n">
        <v>561.7</v>
      </c>
      <c r="K47" s="7" t="n">
        <f aca="false">I47-J47</f>
        <v>339.14</v>
      </c>
      <c r="L47" s="6" t="n">
        <v>0</v>
      </c>
      <c r="M47" s="14" t="s">
        <v>267</v>
      </c>
      <c r="N47" s="14" t="s">
        <v>268</v>
      </c>
      <c r="O47" s="14" t="s">
        <v>31</v>
      </c>
      <c r="P47" s="15" t="s">
        <v>153</v>
      </c>
      <c r="Q47" s="15" t="s">
        <v>88</v>
      </c>
      <c r="R47" s="14" t="s">
        <v>228</v>
      </c>
      <c r="S47" s="14" t="s">
        <v>216</v>
      </c>
      <c r="T47" s="17" t="n">
        <v>0.71</v>
      </c>
      <c r="U47" s="18" t="n">
        <f aca="false">IF(N47="—",0,IF(M47="—",0,IFERROR(DATEVALUE(N47)-DATEVALUE(M47),0)))</f>
        <v>129</v>
      </c>
      <c r="V47" s="15" t="s">
        <v>201</v>
      </c>
    </row>
    <row r="48" customFormat="false" ht="15" hidden="false" customHeight="false" outlineLevel="0" collapsed="false">
      <c r="A48" s="19" t="s">
        <v>269</v>
      </c>
      <c r="B48" s="20" t="s">
        <v>270</v>
      </c>
      <c r="C48" s="19" t="s">
        <v>25</v>
      </c>
      <c r="D48" s="19" t="s">
        <v>98</v>
      </c>
      <c r="E48" s="19" t="s">
        <v>65</v>
      </c>
      <c r="F48" s="21" t="n">
        <v>400</v>
      </c>
      <c r="G48" s="19" t="s">
        <v>219</v>
      </c>
      <c r="H48" s="19" t="s">
        <v>196</v>
      </c>
      <c r="I48" s="6" t="n">
        <v>1857.17</v>
      </c>
      <c r="J48" s="6" t="n">
        <v>1349.73</v>
      </c>
      <c r="K48" s="7" t="n">
        <f aca="false">I48-J48</f>
        <v>507.44</v>
      </c>
      <c r="L48" s="6" t="n">
        <v>0</v>
      </c>
      <c r="M48" s="19" t="s">
        <v>271</v>
      </c>
      <c r="N48" s="19" t="s">
        <v>272</v>
      </c>
      <c r="O48" s="19" t="s">
        <v>31</v>
      </c>
      <c r="P48" s="20" t="s">
        <v>33</v>
      </c>
      <c r="Q48" s="20" t="s">
        <v>34</v>
      </c>
      <c r="R48" s="19" t="s">
        <v>206</v>
      </c>
      <c r="S48" s="19" t="s">
        <v>223</v>
      </c>
      <c r="T48" s="22" t="n">
        <v>0.43</v>
      </c>
      <c r="U48" s="23" t="n">
        <f aca="false">IF(N48="—",0,IF(M48="—",0,IFERROR(DATEVALUE(N48)-DATEVALUE(M48),0)))</f>
        <v>194</v>
      </c>
      <c r="V48" s="20" t="s">
        <v>273</v>
      </c>
    </row>
    <row r="49" customFormat="false" ht="15" hidden="false" customHeight="false" outlineLevel="0" collapsed="false">
      <c r="A49" s="14" t="s">
        <v>274</v>
      </c>
      <c r="B49" s="15" t="s">
        <v>275</v>
      </c>
      <c r="C49" s="14" t="s">
        <v>25</v>
      </c>
      <c r="D49" s="14" t="s">
        <v>104</v>
      </c>
      <c r="E49" s="14" t="s">
        <v>50</v>
      </c>
      <c r="F49" s="16" t="n">
        <v>500</v>
      </c>
      <c r="G49" s="14" t="s">
        <v>195</v>
      </c>
      <c r="H49" s="14" t="s">
        <v>196</v>
      </c>
      <c r="I49" s="6" t="n">
        <v>2713.4</v>
      </c>
      <c r="J49" s="6" t="n">
        <v>1307.48</v>
      </c>
      <c r="K49" s="7" t="n">
        <f aca="false">I49-J49</f>
        <v>1405.92</v>
      </c>
      <c r="L49" s="6" t="n">
        <v>0</v>
      </c>
      <c r="M49" s="14" t="s">
        <v>276</v>
      </c>
      <c r="N49" s="14" t="s">
        <v>260</v>
      </c>
      <c r="O49" s="14" t="s">
        <v>31</v>
      </c>
      <c r="P49" s="15" t="s">
        <v>95</v>
      </c>
      <c r="Q49" s="15" t="s">
        <v>69</v>
      </c>
      <c r="R49" s="14" t="s">
        <v>235</v>
      </c>
      <c r="S49" s="14" t="s">
        <v>46</v>
      </c>
      <c r="T49" s="22" t="n">
        <v>0.3</v>
      </c>
      <c r="U49" s="18" t="n">
        <f aca="false">IF(N49="—",0,IF(M49="—",0,IFERROR(DATEVALUE(N49)-DATEVALUE(M49),0)))</f>
        <v>222</v>
      </c>
      <c r="V49" s="15" t="s">
        <v>247</v>
      </c>
    </row>
    <row r="50" customFormat="false" ht="15" hidden="false" customHeight="false" outlineLevel="0" collapsed="false">
      <c r="A50" s="19" t="s">
        <v>277</v>
      </c>
      <c r="B50" s="20" t="s">
        <v>278</v>
      </c>
      <c r="C50" s="19" t="s">
        <v>25</v>
      </c>
      <c r="D50" s="19" t="s">
        <v>109</v>
      </c>
      <c r="E50" s="19" t="s">
        <v>92</v>
      </c>
      <c r="F50" s="21" t="n">
        <v>200</v>
      </c>
      <c r="G50" s="19" t="s">
        <v>219</v>
      </c>
      <c r="H50" s="19" t="s">
        <v>196</v>
      </c>
      <c r="I50" s="6" t="n">
        <v>859.81</v>
      </c>
      <c r="J50" s="6" t="n">
        <v>224.59</v>
      </c>
      <c r="K50" s="7" t="n">
        <f aca="false">I50-J50</f>
        <v>635.22</v>
      </c>
      <c r="L50" s="6" t="n">
        <v>0</v>
      </c>
      <c r="M50" s="19" t="s">
        <v>279</v>
      </c>
      <c r="N50" s="19" t="s">
        <v>280</v>
      </c>
      <c r="O50" s="19" t="s">
        <v>31</v>
      </c>
      <c r="P50" s="20" t="s">
        <v>112</v>
      </c>
      <c r="Q50" s="20" t="s">
        <v>101</v>
      </c>
      <c r="R50" s="19" t="s">
        <v>228</v>
      </c>
      <c r="S50" s="19" t="s">
        <v>200</v>
      </c>
      <c r="T50" s="22" t="n">
        <v>0.39</v>
      </c>
      <c r="U50" s="23" t="n">
        <f aca="false">IF(N50="—",0,IF(M50="—",0,IFERROR(DATEVALUE(N50)-DATEVALUE(M50),0)))</f>
        <v>93</v>
      </c>
      <c r="V50" s="20" t="s">
        <v>273</v>
      </c>
    </row>
    <row r="51" customFormat="false" ht="15" hidden="false" customHeight="false" outlineLevel="0" collapsed="false">
      <c r="A51" s="14" t="s">
        <v>281</v>
      </c>
      <c r="B51" s="15" t="s">
        <v>282</v>
      </c>
      <c r="C51" s="14" t="s">
        <v>25</v>
      </c>
      <c r="D51" s="14" t="s">
        <v>115</v>
      </c>
      <c r="E51" s="14" t="s">
        <v>50</v>
      </c>
      <c r="F51" s="16" t="n">
        <v>500</v>
      </c>
      <c r="G51" s="14" t="s">
        <v>219</v>
      </c>
      <c r="H51" s="14" t="s">
        <v>196</v>
      </c>
      <c r="I51" s="6" t="n">
        <v>2722.8</v>
      </c>
      <c r="J51" s="6" t="n">
        <v>1756.47</v>
      </c>
      <c r="K51" s="7" t="n">
        <f aca="false">I51-J51</f>
        <v>966.33</v>
      </c>
      <c r="L51" s="6" t="n">
        <v>0</v>
      </c>
      <c r="M51" s="14" t="s">
        <v>283</v>
      </c>
      <c r="N51" s="14" t="s">
        <v>284</v>
      </c>
      <c r="O51" s="14" t="s">
        <v>31</v>
      </c>
      <c r="P51" s="15" t="s">
        <v>81</v>
      </c>
      <c r="Q51" s="15" t="s">
        <v>69</v>
      </c>
      <c r="R51" s="14" t="s">
        <v>199</v>
      </c>
      <c r="S51" s="14" t="s">
        <v>46</v>
      </c>
      <c r="T51" s="22" t="n">
        <v>0.4</v>
      </c>
      <c r="U51" s="18" t="n">
        <f aca="false">IF(N51="—",0,IF(M51="—",0,IFERROR(DATEVALUE(N51)-DATEVALUE(M51),0)))</f>
        <v>185</v>
      </c>
      <c r="V51" s="15" t="s">
        <v>207</v>
      </c>
    </row>
    <row r="52" customFormat="false" ht="15" hidden="false" customHeight="false" outlineLevel="0" collapsed="false">
      <c r="A52" s="19" t="s">
        <v>285</v>
      </c>
      <c r="B52" s="20" t="s">
        <v>286</v>
      </c>
      <c r="C52" s="19" t="s">
        <v>25</v>
      </c>
      <c r="D52" s="19" t="s">
        <v>121</v>
      </c>
      <c r="E52" s="19" t="s">
        <v>27</v>
      </c>
      <c r="F52" s="21" t="n">
        <v>400</v>
      </c>
      <c r="G52" s="19" t="s">
        <v>219</v>
      </c>
      <c r="H52" s="19" t="s">
        <v>196</v>
      </c>
      <c r="I52" s="6" t="n">
        <v>2014.37</v>
      </c>
      <c r="J52" s="6" t="n">
        <v>1198.52</v>
      </c>
      <c r="K52" s="7" t="n">
        <f aca="false">I52-J52</f>
        <v>815.85</v>
      </c>
      <c r="L52" s="6" t="n">
        <v>0</v>
      </c>
      <c r="M52" s="19" t="s">
        <v>287</v>
      </c>
      <c r="N52" s="19" t="s">
        <v>288</v>
      </c>
      <c r="O52" s="19" t="s">
        <v>31</v>
      </c>
      <c r="P52" s="20" t="s">
        <v>170</v>
      </c>
      <c r="Q52" s="20" t="s">
        <v>88</v>
      </c>
      <c r="R52" s="19" t="s">
        <v>199</v>
      </c>
      <c r="S52" s="19" t="s">
        <v>229</v>
      </c>
      <c r="T52" s="22" t="n">
        <v>0.33</v>
      </c>
      <c r="U52" s="23" t="n">
        <f aca="false">IF(N52="—",0,IF(M52="—",0,IFERROR(DATEVALUE(N52)-DATEVALUE(M52),0)))</f>
        <v>181</v>
      </c>
      <c r="V52" s="20" t="s">
        <v>201</v>
      </c>
    </row>
    <row r="53" customFormat="false" ht="15" hidden="false" customHeight="false" outlineLevel="0" collapsed="false">
      <c r="A53" s="24" t="s">
        <v>289</v>
      </c>
      <c r="B53" s="25" t="s">
        <v>290</v>
      </c>
      <c r="C53" s="24" t="s">
        <v>25</v>
      </c>
      <c r="D53" s="24" t="s">
        <v>126</v>
      </c>
      <c r="E53" s="24" t="s">
        <v>78</v>
      </c>
      <c r="F53" s="26" t="n">
        <v>300</v>
      </c>
      <c r="G53" s="24" t="s">
        <v>291</v>
      </c>
      <c r="H53" s="24" t="s">
        <v>292</v>
      </c>
      <c r="I53" s="6" t="n">
        <v>1411.97</v>
      </c>
      <c r="J53" s="6" t="n">
        <v>1.79</v>
      </c>
      <c r="K53" s="7" t="n">
        <f aca="false">I53-J53</f>
        <v>1410.18</v>
      </c>
      <c r="L53" s="6" t="n">
        <v>0</v>
      </c>
      <c r="M53" s="24" t="s">
        <v>293</v>
      </c>
      <c r="N53" s="24" t="s">
        <v>246</v>
      </c>
      <c r="O53" s="24" t="s">
        <v>31</v>
      </c>
      <c r="P53" s="25" t="s">
        <v>33</v>
      </c>
      <c r="Q53" s="25" t="s">
        <v>34</v>
      </c>
      <c r="R53" s="24" t="s">
        <v>294</v>
      </c>
      <c r="S53" s="24" t="s">
        <v>229</v>
      </c>
      <c r="T53" s="22" t="n">
        <v>0.13</v>
      </c>
      <c r="U53" s="27" t="n">
        <f aca="false">IF(N53="—",0,IF(M53="—",0,IFERROR(DATEVALUE(N53)-DATEVALUE(M53),0)))</f>
        <v>439</v>
      </c>
      <c r="V53" s="25" t="s">
        <v>236</v>
      </c>
    </row>
    <row r="54" customFormat="false" ht="15" hidden="false" customHeight="false" outlineLevel="0" collapsed="false">
      <c r="A54" s="28" t="s">
        <v>295</v>
      </c>
      <c r="B54" s="29" t="s">
        <v>296</v>
      </c>
      <c r="C54" s="28" t="s">
        <v>25</v>
      </c>
      <c r="D54" s="28" t="s">
        <v>131</v>
      </c>
      <c r="E54" s="28" t="s">
        <v>50</v>
      </c>
      <c r="F54" s="30" t="n">
        <v>150</v>
      </c>
      <c r="G54" s="28" t="s">
        <v>291</v>
      </c>
      <c r="H54" s="28" t="s">
        <v>292</v>
      </c>
      <c r="I54" s="6" t="n">
        <v>732.67</v>
      </c>
      <c r="J54" s="6" t="n">
        <v>34.06</v>
      </c>
      <c r="K54" s="7" t="n">
        <f aca="false">I54-J54</f>
        <v>698.61</v>
      </c>
      <c r="L54" s="6" t="n">
        <v>0</v>
      </c>
      <c r="M54" s="28" t="s">
        <v>297</v>
      </c>
      <c r="N54" s="28" t="s">
        <v>298</v>
      </c>
      <c r="O54" s="28" t="s">
        <v>31</v>
      </c>
      <c r="P54" s="29" t="s">
        <v>170</v>
      </c>
      <c r="Q54" s="29" t="s">
        <v>61</v>
      </c>
      <c r="R54" s="28" t="s">
        <v>294</v>
      </c>
      <c r="S54" s="28" t="s">
        <v>229</v>
      </c>
      <c r="T54" s="22" t="n">
        <v>0.08</v>
      </c>
      <c r="U54" s="31" t="n">
        <f aca="false">IF(N54="—",0,IF(M54="—",0,IFERROR(DATEVALUE(N54)-DATEVALUE(M54),0)))</f>
        <v>455</v>
      </c>
      <c r="V54" s="29" t="s">
        <v>236</v>
      </c>
    </row>
    <row r="55" customFormat="false" ht="15" hidden="false" customHeight="false" outlineLevel="0" collapsed="false">
      <c r="A55" s="24" t="s">
        <v>299</v>
      </c>
      <c r="B55" s="25" t="s">
        <v>300</v>
      </c>
      <c r="C55" s="24" t="s">
        <v>25</v>
      </c>
      <c r="D55" s="24" t="s">
        <v>136</v>
      </c>
      <c r="E55" s="24" t="s">
        <v>65</v>
      </c>
      <c r="F55" s="26" t="n">
        <v>200</v>
      </c>
      <c r="G55" s="24" t="s">
        <v>291</v>
      </c>
      <c r="H55" s="24" t="s">
        <v>292</v>
      </c>
      <c r="I55" s="6" t="n">
        <v>898.41</v>
      </c>
      <c r="J55" s="6" t="n">
        <v>29.2</v>
      </c>
      <c r="K55" s="7" t="n">
        <f aca="false">I55-J55</f>
        <v>869.21</v>
      </c>
      <c r="L55" s="6" t="n">
        <v>0</v>
      </c>
      <c r="M55" s="24" t="s">
        <v>301</v>
      </c>
      <c r="N55" s="24" t="s">
        <v>302</v>
      </c>
      <c r="O55" s="24" t="s">
        <v>31</v>
      </c>
      <c r="P55" s="25" t="s">
        <v>118</v>
      </c>
      <c r="Q55" s="25" t="s">
        <v>34</v>
      </c>
      <c r="R55" s="24" t="s">
        <v>222</v>
      </c>
      <c r="S55" s="24" t="s">
        <v>303</v>
      </c>
      <c r="T55" s="22" t="n">
        <v>0.15</v>
      </c>
      <c r="U55" s="27" t="n">
        <f aca="false">IF(N55="—",0,IF(M55="—",0,IFERROR(DATEVALUE(N55)-DATEVALUE(M55),0)))</f>
        <v>194</v>
      </c>
      <c r="V55" s="25" t="s">
        <v>207</v>
      </c>
    </row>
    <row r="56" customFormat="false" ht="15" hidden="false" customHeight="false" outlineLevel="0" collapsed="false">
      <c r="A56" s="28" t="s">
        <v>304</v>
      </c>
      <c r="B56" s="29" t="s">
        <v>305</v>
      </c>
      <c r="C56" s="28" t="s">
        <v>25</v>
      </c>
      <c r="D56" s="28" t="s">
        <v>141</v>
      </c>
      <c r="E56" s="28" t="s">
        <v>50</v>
      </c>
      <c r="F56" s="30" t="n">
        <v>250</v>
      </c>
      <c r="G56" s="28" t="s">
        <v>195</v>
      </c>
      <c r="H56" s="28" t="s">
        <v>292</v>
      </c>
      <c r="I56" s="6" t="n">
        <v>1202.03</v>
      </c>
      <c r="J56" s="6" t="n">
        <v>58.73</v>
      </c>
      <c r="K56" s="7" t="n">
        <f aca="false">I56-J56</f>
        <v>1143.3</v>
      </c>
      <c r="L56" s="6" t="n">
        <v>0</v>
      </c>
      <c r="M56" s="28" t="s">
        <v>306</v>
      </c>
      <c r="N56" s="28" t="s">
        <v>307</v>
      </c>
      <c r="O56" s="28" t="s">
        <v>31</v>
      </c>
      <c r="P56" s="29" t="s">
        <v>112</v>
      </c>
      <c r="Q56" s="29" t="s">
        <v>45</v>
      </c>
      <c r="R56" s="28" t="s">
        <v>308</v>
      </c>
      <c r="S56" s="28" t="s">
        <v>303</v>
      </c>
      <c r="T56" s="22" t="n">
        <v>0.07</v>
      </c>
      <c r="U56" s="31" t="n">
        <f aca="false">IF(N56="—",0,IF(M56="—",0,IFERROR(DATEVALUE(N56)-DATEVALUE(M56),0)))</f>
        <v>303</v>
      </c>
      <c r="V56" s="29" t="s">
        <v>201</v>
      </c>
    </row>
    <row r="57" customFormat="false" ht="15" hidden="false" customHeight="false" outlineLevel="0" collapsed="false">
      <c r="A57" s="24" t="s">
        <v>309</v>
      </c>
      <c r="B57" s="25" t="s">
        <v>310</v>
      </c>
      <c r="C57" s="24" t="s">
        <v>25</v>
      </c>
      <c r="D57" s="24" t="s">
        <v>26</v>
      </c>
      <c r="E57" s="24" t="s">
        <v>27</v>
      </c>
      <c r="F57" s="26" t="n">
        <v>100</v>
      </c>
      <c r="G57" s="24" t="s">
        <v>291</v>
      </c>
      <c r="H57" s="24" t="s">
        <v>292</v>
      </c>
      <c r="I57" s="6" t="n">
        <v>422.87</v>
      </c>
      <c r="J57" s="6" t="n">
        <v>24.59</v>
      </c>
      <c r="K57" s="7" t="n">
        <f aca="false">I57-J57</f>
        <v>398.28</v>
      </c>
      <c r="L57" s="6" t="n">
        <v>0</v>
      </c>
      <c r="M57" s="24" t="s">
        <v>311</v>
      </c>
      <c r="N57" s="24" t="s">
        <v>312</v>
      </c>
      <c r="O57" s="24" t="s">
        <v>31</v>
      </c>
      <c r="P57" s="25" t="s">
        <v>68</v>
      </c>
      <c r="Q57" s="25" t="s">
        <v>82</v>
      </c>
      <c r="R57" s="24" t="s">
        <v>308</v>
      </c>
      <c r="S57" s="24" t="s">
        <v>313</v>
      </c>
      <c r="T57" s="22" t="n">
        <v>0.15</v>
      </c>
      <c r="U57" s="27" t="n">
        <f aca="false">IF(N57="—",0,IF(M57="—",0,IFERROR(DATEVALUE(N57)-DATEVALUE(M57),0)))</f>
        <v>304</v>
      </c>
      <c r="V57" s="25" t="s">
        <v>247</v>
      </c>
    </row>
    <row r="58" customFormat="false" ht="15" hidden="false" customHeight="false" outlineLevel="0" collapsed="false">
      <c r="A58" s="10" t="s">
        <v>314</v>
      </c>
      <c r="B58" s="11" t="s">
        <v>315</v>
      </c>
      <c r="C58" s="10" t="s">
        <v>316</v>
      </c>
      <c r="D58" s="10" t="s">
        <v>136</v>
      </c>
      <c r="E58" s="10" t="s">
        <v>65</v>
      </c>
      <c r="F58" s="12" t="n">
        <v>50</v>
      </c>
      <c r="G58" s="10" t="s">
        <v>51</v>
      </c>
      <c r="H58" s="10" t="s">
        <v>29</v>
      </c>
      <c r="I58" s="6" t="n">
        <v>234.18</v>
      </c>
      <c r="J58" s="6" t="n">
        <v>228.71</v>
      </c>
      <c r="K58" s="7" t="n">
        <f aca="false">I58-J58</f>
        <v>5.47</v>
      </c>
      <c r="L58" s="6" t="n">
        <v>45.12</v>
      </c>
      <c r="M58" s="10" t="s">
        <v>317</v>
      </c>
      <c r="N58" s="10" t="s">
        <v>31</v>
      </c>
      <c r="O58" s="10" t="s">
        <v>318</v>
      </c>
      <c r="P58" s="11" t="s">
        <v>319</v>
      </c>
      <c r="Q58" s="11" t="s">
        <v>320</v>
      </c>
      <c r="R58" s="10" t="s">
        <v>35</v>
      </c>
      <c r="S58" s="10" t="s">
        <v>36</v>
      </c>
      <c r="T58" s="8" t="n">
        <v>1</v>
      </c>
      <c r="U58" s="13" t="n">
        <v>0</v>
      </c>
      <c r="V58" s="11" t="s">
        <v>37</v>
      </c>
    </row>
    <row r="59" customFormat="false" ht="15" hidden="false" customHeight="false" outlineLevel="0" collapsed="false">
      <c r="A59" s="3" t="s">
        <v>321</v>
      </c>
      <c r="B59" s="4" t="s">
        <v>322</v>
      </c>
      <c r="C59" s="3" t="s">
        <v>316</v>
      </c>
      <c r="D59" s="3" t="s">
        <v>57</v>
      </c>
      <c r="E59" s="3" t="s">
        <v>50</v>
      </c>
      <c r="F59" s="5" t="n">
        <v>300</v>
      </c>
      <c r="G59" s="3" t="s">
        <v>41</v>
      </c>
      <c r="H59" s="3" t="s">
        <v>29</v>
      </c>
      <c r="I59" s="6" t="n">
        <v>1535.55</v>
      </c>
      <c r="J59" s="6" t="n">
        <v>1470.37</v>
      </c>
      <c r="K59" s="7" t="n">
        <f aca="false">I59-J59</f>
        <v>65.1800000000001</v>
      </c>
      <c r="L59" s="6" t="n">
        <v>344.04</v>
      </c>
      <c r="M59" s="3" t="s">
        <v>43</v>
      </c>
      <c r="N59" s="3" t="s">
        <v>31</v>
      </c>
      <c r="O59" s="3" t="s">
        <v>323</v>
      </c>
      <c r="P59" s="4" t="s">
        <v>319</v>
      </c>
      <c r="Q59" s="4" t="s">
        <v>320</v>
      </c>
      <c r="R59" s="3" t="s">
        <v>35</v>
      </c>
      <c r="S59" s="3" t="s">
        <v>36</v>
      </c>
      <c r="T59" s="8" t="n">
        <v>1</v>
      </c>
      <c r="U59" s="9" t="n">
        <v>0</v>
      </c>
      <c r="V59" s="4" t="s">
        <v>37</v>
      </c>
    </row>
    <row r="60" customFormat="false" ht="15" hidden="false" customHeight="false" outlineLevel="0" collapsed="false">
      <c r="A60" s="10" t="s">
        <v>324</v>
      </c>
      <c r="B60" s="11" t="s">
        <v>325</v>
      </c>
      <c r="C60" s="10" t="s">
        <v>316</v>
      </c>
      <c r="D60" s="10" t="s">
        <v>26</v>
      </c>
      <c r="E60" s="10" t="s">
        <v>27</v>
      </c>
      <c r="F60" s="12" t="n">
        <v>200</v>
      </c>
      <c r="G60" s="10" t="s">
        <v>51</v>
      </c>
      <c r="H60" s="10" t="s">
        <v>29</v>
      </c>
      <c r="I60" s="6" t="n">
        <v>863.71</v>
      </c>
      <c r="J60" s="6" t="n">
        <v>838.11</v>
      </c>
      <c r="K60" s="7" t="n">
        <f aca="false">I60-J60</f>
        <v>25.6</v>
      </c>
      <c r="L60" s="6" t="n">
        <v>160.1</v>
      </c>
      <c r="M60" s="10" t="s">
        <v>326</v>
      </c>
      <c r="N60" s="10" t="s">
        <v>31</v>
      </c>
      <c r="O60" s="10" t="s">
        <v>327</v>
      </c>
      <c r="P60" s="11" t="s">
        <v>328</v>
      </c>
      <c r="Q60" s="11" t="s">
        <v>320</v>
      </c>
      <c r="R60" s="10" t="s">
        <v>35</v>
      </c>
      <c r="S60" s="10" t="s">
        <v>36</v>
      </c>
      <c r="T60" s="8" t="n">
        <v>1</v>
      </c>
      <c r="U60" s="13" t="n">
        <v>0</v>
      </c>
      <c r="V60" s="11" t="s">
        <v>37</v>
      </c>
    </row>
    <row r="61" customFormat="false" ht="15" hidden="false" customHeight="false" outlineLevel="0" collapsed="false">
      <c r="A61" s="3" t="s">
        <v>329</v>
      </c>
      <c r="B61" s="4" t="s">
        <v>330</v>
      </c>
      <c r="C61" s="3" t="s">
        <v>316</v>
      </c>
      <c r="D61" s="3" t="s">
        <v>72</v>
      </c>
      <c r="E61" s="3" t="s">
        <v>65</v>
      </c>
      <c r="F61" s="5" t="n">
        <v>50</v>
      </c>
      <c r="G61" s="3" t="s">
        <v>28</v>
      </c>
      <c r="H61" s="3" t="s">
        <v>29</v>
      </c>
      <c r="I61" s="6" t="n">
        <v>257.69</v>
      </c>
      <c r="J61" s="6" t="n">
        <v>249.82</v>
      </c>
      <c r="K61" s="7" t="n">
        <f aca="false">I61-J61</f>
        <v>7.87</v>
      </c>
      <c r="L61" s="6" t="n">
        <v>66.37</v>
      </c>
      <c r="M61" s="3" t="s">
        <v>331</v>
      </c>
      <c r="N61" s="3" t="s">
        <v>31</v>
      </c>
      <c r="O61" s="3" t="s">
        <v>332</v>
      </c>
      <c r="P61" s="4" t="s">
        <v>333</v>
      </c>
      <c r="Q61" s="4" t="s">
        <v>334</v>
      </c>
      <c r="R61" s="3" t="s">
        <v>35</v>
      </c>
      <c r="S61" s="3" t="s">
        <v>46</v>
      </c>
      <c r="T61" s="8" t="n">
        <v>1</v>
      </c>
      <c r="U61" s="9" t="n">
        <v>0</v>
      </c>
      <c r="V61" s="4" t="s">
        <v>37</v>
      </c>
    </row>
    <row r="62" customFormat="false" ht="15" hidden="false" customHeight="false" outlineLevel="0" collapsed="false">
      <c r="A62" s="10" t="s">
        <v>335</v>
      </c>
      <c r="B62" s="11" t="s">
        <v>336</v>
      </c>
      <c r="C62" s="10" t="s">
        <v>316</v>
      </c>
      <c r="D62" s="10" t="s">
        <v>91</v>
      </c>
      <c r="E62" s="10" t="s">
        <v>92</v>
      </c>
      <c r="F62" s="12" t="n">
        <v>150</v>
      </c>
      <c r="G62" s="10" t="s">
        <v>41</v>
      </c>
      <c r="H62" s="10" t="s">
        <v>29</v>
      </c>
      <c r="I62" s="6" t="n">
        <v>860.43</v>
      </c>
      <c r="J62" s="6" t="n">
        <v>798.43</v>
      </c>
      <c r="K62" s="7" t="n">
        <f aca="false">I62-J62</f>
        <v>62</v>
      </c>
      <c r="L62" s="6" t="n">
        <v>220.51</v>
      </c>
      <c r="M62" s="10" t="s">
        <v>337</v>
      </c>
      <c r="N62" s="10" t="s">
        <v>31</v>
      </c>
      <c r="O62" s="10" t="s">
        <v>338</v>
      </c>
      <c r="P62" s="11" t="s">
        <v>339</v>
      </c>
      <c r="Q62" s="11" t="s">
        <v>340</v>
      </c>
      <c r="R62" s="10" t="s">
        <v>35</v>
      </c>
      <c r="S62" s="10" t="s">
        <v>36</v>
      </c>
      <c r="T62" s="8" t="n">
        <v>1</v>
      </c>
      <c r="U62" s="13" t="n">
        <v>0</v>
      </c>
      <c r="V62" s="11" t="s">
        <v>37</v>
      </c>
    </row>
    <row r="63" customFormat="false" ht="15" hidden="false" customHeight="false" outlineLevel="0" collapsed="false">
      <c r="A63" s="3" t="s">
        <v>341</v>
      </c>
      <c r="B63" s="4" t="s">
        <v>342</v>
      </c>
      <c r="C63" s="3" t="s">
        <v>316</v>
      </c>
      <c r="D63" s="3" t="s">
        <v>85</v>
      </c>
      <c r="E63" s="3" t="s">
        <v>65</v>
      </c>
      <c r="F63" s="5" t="n">
        <v>100</v>
      </c>
      <c r="G63" s="3" t="s">
        <v>28</v>
      </c>
      <c r="H63" s="3" t="s">
        <v>29</v>
      </c>
      <c r="I63" s="6" t="n">
        <v>420.43</v>
      </c>
      <c r="J63" s="6" t="n">
        <v>401.95</v>
      </c>
      <c r="K63" s="7" t="n">
        <f aca="false">I63-J63</f>
        <v>18.48</v>
      </c>
      <c r="L63" s="6" t="n">
        <v>100.64</v>
      </c>
      <c r="M63" s="3" t="s">
        <v>343</v>
      </c>
      <c r="N63" s="3" t="s">
        <v>31</v>
      </c>
      <c r="O63" s="3" t="s">
        <v>344</v>
      </c>
      <c r="P63" s="4" t="s">
        <v>319</v>
      </c>
      <c r="Q63" s="4" t="s">
        <v>345</v>
      </c>
      <c r="R63" s="3" t="s">
        <v>35</v>
      </c>
      <c r="S63" s="3" t="s">
        <v>46</v>
      </c>
      <c r="T63" s="8" t="n">
        <v>1</v>
      </c>
      <c r="U63" s="9" t="n">
        <v>0</v>
      </c>
      <c r="V63" s="4" t="s">
        <v>37</v>
      </c>
    </row>
    <row r="64" customFormat="false" ht="15" hidden="false" customHeight="false" outlineLevel="0" collapsed="false">
      <c r="A64" s="10" t="s">
        <v>346</v>
      </c>
      <c r="B64" s="11" t="s">
        <v>347</v>
      </c>
      <c r="C64" s="10" t="s">
        <v>316</v>
      </c>
      <c r="D64" s="10" t="s">
        <v>98</v>
      </c>
      <c r="E64" s="10" t="s">
        <v>65</v>
      </c>
      <c r="F64" s="12" t="n">
        <v>150</v>
      </c>
      <c r="G64" s="10" t="s">
        <v>41</v>
      </c>
      <c r="H64" s="10" t="s">
        <v>29</v>
      </c>
      <c r="I64" s="6" t="n">
        <v>686.02</v>
      </c>
      <c r="J64" s="6" t="n">
        <v>645.66</v>
      </c>
      <c r="K64" s="7" t="n">
        <f aca="false">I64-J64</f>
        <v>40.36</v>
      </c>
      <c r="L64" s="6" t="n">
        <v>177.76</v>
      </c>
      <c r="M64" s="10" t="s">
        <v>348</v>
      </c>
      <c r="N64" s="10" t="s">
        <v>31</v>
      </c>
      <c r="O64" s="10" t="s">
        <v>349</v>
      </c>
      <c r="P64" s="11" t="s">
        <v>350</v>
      </c>
      <c r="Q64" s="11" t="s">
        <v>340</v>
      </c>
      <c r="R64" s="10" t="s">
        <v>35</v>
      </c>
      <c r="S64" s="10" t="s">
        <v>36</v>
      </c>
      <c r="T64" s="8" t="n">
        <v>1</v>
      </c>
      <c r="U64" s="13" t="n">
        <v>0</v>
      </c>
      <c r="V64" s="11" t="s">
        <v>37</v>
      </c>
    </row>
    <row r="65" customFormat="false" ht="15" hidden="false" customHeight="false" outlineLevel="0" collapsed="false">
      <c r="A65" s="3" t="s">
        <v>351</v>
      </c>
      <c r="B65" s="4" t="s">
        <v>352</v>
      </c>
      <c r="C65" s="3" t="s">
        <v>316</v>
      </c>
      <c r="D65" s="3" t="s">
        <v>115</v>
      </c>
      <c r="E65" s="3" t="s">
        <v>50</v>
      </c>
      <c r="F65" s="5" t="n">
        <v>250</v>
      </c>
      <c r="G65" s="3" t="s">
        <v>51</v>
      </c>
      <c r="H65" s="3" t="s">
        <v>29</v>
      </c>
      <c r="I65" s="6" t="n">
        <v>1078.56</v>
      </c>
      <c r="J65" s="6" t="n">
        <v>1006.59</v>
      </c>
      <c r="K65" s="7" t="n">
        <f aca="false">I65-J65</f>
        <v>71.9699999999999</v>
      </c>
      <c r="L65" s="6" t="n">
        <v>227.32</v>
      </c>
      <c r="M65" s="3" t="s">
        <v>353</v>
      </c>
      <c r="N65" s="3" t="s">
        <v>31</v>
      </c>
      <c r="O65" s="3" t="s">
        <v>354</v>
      </c>
      <c r="P65" s="4" t="s">
        <v>333</v>
      </c>
      <c r="Q65" s="4" t="s">
        <v>340</v>
      </c>
      <c r="R65" s="3" t="s">
        <v>35</v>
      </c>
      <c r="S65" s="3" t="s">
        <v>46</v>
      </c>
      <c r="T65" s="8" t="n">
        <v>1</v>
      </c>
      <c r="U65" s="9" t="n">
        <v>0</v>
      </c>
      <c r="V65" s="4" t="s">
        <v>37</v>
      </c>
    </row>
    <row r="66" customFormat="false" ht="15" hidden="false" customHeight="false" outlineLevel="0" collapsed="false">
      <c r="A66" s="10" t="s">
        <v>355</v>
      </c>
      <c r="B66" s="11" t="s">
        <v>356</v>
      </c>
      <c r="C66" s="10" t="s">
        <v>316</v>
      </c>
      <c r="D66" s="10" t="s">
        <v>126</v>
      </c>
      <c r="E66" s="10" t="s">
        <v>78</v>
      </c>
      <c r="F66" s="12" t="n">
        <v>200</v>
      </c>
      <c r="G66" s="10" t="s">
        <v>41</v>
      </c>
      <c r="H66" s="10" t="s">
        <v>29</v>
      </c>
      <c r="I66" s="6" t="n">
        <v>1012.79</v>
      </c>
      <c r="J66" s="6" t="n">
        <v>967.24</v>
      </c>
      <c r="K66" s="7" t="n">
        <f aca="false">I66-J66</f>
        <v>45.55</v>
      </c>
      <c r="L66" s="6" t="n">
        <v>242.87</v>
      </c>
      <c r="M66" s="10" t="s">
        <v>357</v>
      </c>
      <c r="N66" s="10" t="s">
        <v>31</v>
      </c>
      <c r="O66" s="10" t="s">
        <v>358</v>
      </c>
      <c r="P66" s="11" t="s">
        <v>359</v>
      </c>
      <c r="Q66" s="11" t="s">
        <v>320</v>
      </c>
      <c r="R66" s="10" t="s">
        <v>35</v>
      </c>
      <c r="S66" s="10" t="s">
        <v>46</v>
      </c>
      <c r="T66" s="8" t="n">
        <v>1</v>
      </c>
      <c r="U66" s="13" t="n">
        <v>0</v>
      </c>
      <c r="V66" s="11" t="s">
        <v>37</v>
      </c>
    </row>
    <row r="67" customFormat="false" ht="15" hidden="false" customHeight="false" outlineLevel="0" collapsed="false">
      <c r="A67" s="3" t="s">
        <v>360</v>
      </c>
      <c r="B67" s="4" t="s">
        <v>361</v>
      </c>
      <c r="C67" s="3" t="s">
        <v>316</v>
      </c>
      <c r="D67" s="3" t="s">
        <v>64</v>
      </c>
      <c r="E67" s="3" t="s">
        <v>65</v>
      </c>
      <c r="F67" s="5" t="n">
        <v>50</v>
      </c>
      <c r="G67" s="3" t="s">
        <v>28</v>
      </c>
      <c r="H67" s="3" t="s">
        <v>29</v>
      </c>
      <c r="I67" s="6" t="n">
        <v>275.71</v>
      </c>
      <c r="J67" s="6" t="n">
        <v>266.36</v>
      </c>
      <c r="K67" s="7" t="n">
        <f aca="false">I67-J67</f>
        <v>9.34999999999997</v>
      </c>
      <c r="L67" s="6" t="n">
        <v>70.67</v>
      </c>
      <c r="M67" s="3" t="s">
        <v>362</v>
      </c>
      <c r="N67" s="3" t="s">
        <v>31</v>
      </c>
      <c r="O67" s="3" t="s">
        <v>363</v>
      </c>
      <c r="P67" s="4" t="s">
        <v>333</v>
      </c>
      <c r="Q67" s="4" t="s">
        <v>334</v>
      </c>
      <c r="R67" s="3" t="s">
        <v>35</v>
      </c>
      <c r="S67" s="3" t="s">
        <v>36</v>
      </c>
      <c r="T67" s="8" t="n">
        <v>1</v>
      </c>
      <c r="U67" s="9" t="n">
        <v>0</v>
      </c>
      <c r="V67" s="4" t="s">
        <v>37</v>
      </c>
    </row>
    <row r="68" customFormat="false" ht="15" hidden="false" customHeight="false" outlineLevel="0" collapsed="false">
      <c r="A68" s="19" t="s">
        <v>364</v>
      </c>
      <c r="B68" s="20" t="s">
        <v>365</v>
      </c>
      <c r="C68" s="19" t="s">
        <v>316</v>
      </c>
      <c r="D68" s="19" t="s">
        <v>40</v>
      </c>
      <c r="E68" s="19" t="s">
        <v>27</v>
      </c>
      <c r="F68" s="21" t="n">
        <v>150</v>
      </c>
      <c r="G68" s="19" t="s">
        <v>195</v>
      </c>
      <c r="H68" s="19" t="s">
        <v>196</v>
      </c>
      <c r="I68" s="6" t="n">
        <v>710.64</v>
      </c>
      <c r="J68" s="6" t="n">
        <v>213.32</v>
      </c>
      <c r="K68" s="7" t="n">
        <f aca="false">I68-J68</f>
        <v>497.32</v>
      </c>
      <c r="L68" s="6" t="n">
        <v>0</v>
      </c>
      <c r="M68" s="19" t="s">
        <v>366</v>
      </c>
      <c r="N68" s="19" t="s">
        <v>367</v>
      </c>
      <c r="O68" s="19" t="s">
        <v>31</v>
      </c>
      <c r="P68" s="20" t="s">
        <v>359</v>
      </c>
      <c r="Q68" s="20" t="s">
        <v>340</v>
      </c>
      <c r="R68" s="19" t="s">
        <v>235</v>
      </c>
      <c r="S68" s="19" t="s">
        <v>223</v>
      </c>
      <c r="T68" s="17" t="n">
        <v>0.64</v>
      </c>
      <c r="U68" s="23" t="n">
        <f aca="false">IF(N68="—",0,IF(M68="—",0,IFERROR(DATEVALUE(N68)-DATEVALUE(M68),0)))</f>
        <v>238</v>
      </c>
      <c r="V68" s="20" t="s">
        <v>256</v>
      </c>
    </row>
    <row r="69" customFormat="false" ht="15" hidden="false" customHeight="false" outlineLevel="0" collapsed="false">
      <c r="A69" s="14" t="s">
        <v>368</v>
      </c>
      <c r="B69" s="15" t="s">
        <v>369</v>
      </c>
      <c r="C69" s="14" t="s">
        <v>316</v>
      </c>
      <c r="D69" s="14" t="s">
        <v>104</v>
      </c>
      <c r="E69" s="14" t="s">
        <v>50</v>
      </c>
      <c r="F69" s="16" t="n">
        <v>150</v>
      </c>
      <c r="G69" s="14" t="s">
        <v>195</v>
      </c>
      <c r="H69" s="14" t="s">
        <v>196</v>
      </c>
      <c r="I69" s="6" t="n">
        <v>783.05</v>
      </c>
      <c r="J69" s="6" t="n">
        <v>432.68</v>
      </c>
      <c r="K69" s="7" t="n">
        <f aca="false">I69-J69</f>
        <v>350.37</v>
      </c>
      <c r="L69" s="6" t="n">
        <v>0</v>
      </c>
      <c r="M69" s="14" t="s">
        <v>370</v>
      </c>
      <c r="N69" s="14" t="s">
        <v>371</v>
      </c>
      <c r="O69" s="14" t="s">
        <v>31</v>
      </c>
      <c r="P69" s="15" t="s">
        <v>339</v>
      </c>
      <c r="Q69" s="15" t="s">
        <v>372</v>
      </c>
      <c r="R69" s="14" t="s">
        <v>206</v>
      </c>
      <c r="S69" s="14" t="s">
        <v>223</v>
      </c>
      <c r="T69" s="17" t="n">
        <v>0.78</v>
      </c>
      <c r="U69" s="18" t="n">
        <f aca="false">IF(N69="—",0,IF(M69="—",0,IFERROR(DATEVALUE(N69)-DATEVALUE(M69),0)))</f>
        <v>132</v>
      </c>
      <c r="V69" s="15" t="s">
        <v>373</v>
      </c>
    </row>
    <row r="70" customFormat="false" ht="15" hidden="false" customHeight="false" outlineLevel="0" collapsed="false">
      <c r="A70" s="19" t="s">
        <v>374</v>
      </c>
      <c r="B70" s="20" t="s">
        <v>375</v>
      </c>
      <c r="C70" s="19" t="s">
        <v>316</v>
      </c>
      <c r="D70" s="19" t="s">
        <v>141</v>
      </c>
      <c r="E70" s="19" t="s">
        <v>50</v>
      </c>
      <c r="F70" s="21" t="n">
        <v>200</v>
      </c>
      <c r="G70" s="19" t="s">
        <v>195</v>
      </c>
      <c r="H70" s="19" t="s">
        <v>196</v>
      </c>
      <c r="I70" s="6" t="n">
        <v>856.27</v>
      </c>
      <c r="J70" s="6" t="n">
        <v>384.45</v>
      </c>
      <c r="K70" s="7" t="n">
        <f aca="false">I70-J70</f>
        <v>471.82</v>
      </c>
      <c r="L70" s="6" t="n">
        <v>0</v>
      </c>
      <c r="M70" s="19" t="s">
        <v>376</v>
      </c>
      <c r="N70" s="19" t="s">
        <v>205</v>
      </c>
      <c r="O70" s="19" t="s">
        <v>31</v>
      </c>
      <c r="P70" s="20" t="s">
        <v>377</v>
      </c>
      <c r="Q70" s="20" t="s">
        <v>320</v>
      </c>
      <c r="R70" s="19" t="s">
        <v>235</v>
      </c>
      <c r="S70" s="19" t="s">
        <v>46</v>
      </c>
      <c r="T70" s="17" t="n">
        <v>0.83</v>
      </c>
      <c r="U70" s="23" t="n">
        <f aca="false">IF(N70="—",0,IF(M70="—",0,IFERROR(DATEVALUE(N70)-DATEVALUE(M70),0)))</f>
        <v>43</v>
      </c>
      <c r="V70" s="20" t="s">
        <v>256</v>
      </c>
    </row>
    <row r="71" customFormat="false" ht="15" hidden="false" customHeight="false" outlineLevel="0" collapsed="false">
      <c r="A71" s="14" t="s">
        <v>378</v>
      </c>
      <c r="B71" s="15" t="s">
        <v>379</v>
      </c>
      <c r="C71" s="14" t="s">
        <v>316</v>
      </c>
      <c r="D71" s="14" t="s">
        <v>77</v>
      </c>
      <c r="E71" s="14" t="s">
        <v>78</v>
      </c>
      <c r="F71" s="16" t="n">
        <v>150</v>
      </c>
      <c r="G71" s="14" t="s">
        <v>195</v>
      </c>
      <c r="H71" s="14" t="s">
        <v>196</v>
      </c>
      <c r="I71" s="6" t="n">
        <v>818.96</v>
      </c>
      <c r="J71" s="6" t="n">
        <v>478.99</v>
      </c>
      <c r="K71" s="7" t="n">
        <f aca="false">I71-J71</f>
        <v>339.97</v>
      </c>
      <c r="L71" s="6" t="n">
        <v>0</v>
      </c>
      <c r="M71" s="14" t="s">
        <v>280</v>
      </c>
      <c r="N71" s="14" t="s">
        <v>380</v>
      </c>
      <c r="O71" s="14" t="s">
        <v>31</v>
      </c>
      <c r="P71" s="15" t="s">
        <v>381</v>
      </c>
      <c r="Q71" s="15" t="s">
        <v>382</v>
      </c>
      <c r="R71" s="14" t="s">
        <v>228</v>
      </c>
      <c r="S71" s="14" t="s">
        <v>223</v>
      </c>
      <c r="T71" s="17" t="n">
        <v>0.5</v>
      </c>
      <c r="U71" s="18" t="n">
        <f aca="false">IF(N71="—",0,IF(M71="—",0,IFERROR(DATEVALUE(N71)-DATEVALUE(M71),0)))</f>
        <v>37</v>
      </c>
      <c r="V71" s="15" t="s">
        <v>230</v>
      </c>
    </row>
    <row r="72" customFormat="false" ht="15" hidden="false" customHeight="false" outlineLevel="0" collapsed="false">
      <c r="A72" s="19" t="s">
        <v>383</v>
      </c>
      <c r="B72" s="20" t="s">
        <v>384</v>
      </c>
      <c r="C72" s="19" t="s">
        <v>316</v>
      </c>
      <c r="D72" s="19" t="s">
        <v>49</v>
      </c>
      <c r="E72" s="19" t="s">
        <v>50</v>
      </c>
      <c r="F72" s="21" t="n">
        <v>50</v>
      </c>
      <c r="G72" s="19" t="s">
        <v>219</v>
      </c>
      <c r="H72" s="19" t="s">
        <v>196</v>
      </c>
      <c r="I72" s="6" t="n">
        <v>248.58</v>
      </c>
      <c r="J72" s="6" t="n">
        <v>83.2</v>
      </c>
      <c r="K72" s="7" t="n">
        <f aca="false">I72-J72</f>
        <v>165.38</v>
      </c>
      <c r="L72" s="6" t="n">
        <v>0</v>
      </c>
      <c r="M72" s="19" t="s">
        <v>385</v>
      </c>
      <c r="N72" s="19" t="s">
        <v>386</v>
      </c>
      <c r="O72" s="19" t="s">
        <v>31</v>
      </c>
      <c r="P72" s="20" t="s">
        <v>350</v>
      </c>
      <c r="Q72" s="20" t="s">
        <v>334</v>
      </c>
      <c r="R72" s="19" t="s">
        <v>222</v>
      </c>
      <c r="S72" s="19" t="s">
        <v>223</v>
      </c>
      <c r="T72" s="17" t="n">
        <v>0.57</v>
      </c>
      <c r="U72" s="23" t="n">
        <f aca="false">IF(N72="—",0,IF(M72="—",0,IFERROR(DATEVALUE(N72)-DATEVALUE(M72),0)))</f>
        <v>60</v>
      </c>
      <c r="V72" s="20" t="s">
        <v>236</v>
      </c>
    </row>
    <row r="73" customFormat="false" ht="15" hidden="false" customHeight="false" outlineLevel="0" collapsed="false">
      <c r="A73" s="14" t="s">
        <v>387</v>
      </c>
      <c r="B73" s="15" t="s">
        <v>388</v>
      </c>
      <c r="C73" s="14" t="s">
        <v>316</v>
      </c>
      <c r="D73" s="14" t="s">
        <v>131</v>
      </c>
      <c r="E73" s="14" t="s">
        <v>50</v>
      </c>
      <c r="F73" s="16" t="n">
        <v>100</v>
      </c>
      <c r="G73" s="14" t="s">
        <v>195</v>
      </c>
      <c r="H73" s="14" t="s">
        <v>196</v>
      </c>
      <c r="I73" s="6" t="n">
        <v>489.91</v>
      </c>
      <c r="J73" s="6" t="n">
        <v>323.57</v>
      </c>
      <c r="K73" s="7" t="n">
        <f aca="false">I73-J73</f>
        <v>166.34</v>
      </c>
      <c r="L73" s="6" t="n">
        <v>0</v>
      </c>
      <c r="M73" s="14" t="s">
        <v>389</v>
      </c>
      <c r="N73" s="14" t="s">
        <v>390</v>
      </c>
      <c r="O73" s="14" t="s">
        <v>31</v>
      </c>
      <c r="P73" s="15" t="s">
        <v>350</v>
      </c>
      <c r="Q73" s="15" t="s">
        <v>372</v>
      </c>
      <c r="R73" s="14" t="s">
        <v>206</v>
      </c>
      <c r="S73" s="14" t="s">
        <v>223</v>
      </c>
      <c r="T73" s="22" t="n">
        <v>0.37</v>
      </c>
      <c r="U73" s="18" t="n">
        <f aca="false">IF(N73="—",0,IF(M73="—",0,IFERROR(DATEVALUE(N73)-DATEVALUE(M73),0)))</f>
        <v>265</v>
      </c>
      <c r="V73" s="15" t="s">
        <v>207</v>
      </c>
    </row>
    <row r="74" customFormat="false" ht="15" hidden="false" customHeight="false" outlineLevel="0" collapsed="false">
      <c r="A74" s="19" t="s">
        <v>391</v>
      </c>
      <c r="B74" s="20" t="s">
        <v>392</v>
      </c>
      <c r="C74" s="19" t="s">
        <v>316</v>
      </c>
      <c r="D74" s="19" t="s">
        <v>121</v>
      </c>
      <c r="E74" s="19" t="s">
        <v>27</v>
      </c>
      <c r="F74" s="21" t="n">
        <v>50</v>
      </c>
      <c r="G74" s="19" t="s">
        <v>195</v>
      </c>
      <c r="H74" s="19" t="s">
        <v>196</v>
      </c>
      <c r="I74" s="6" t="n">
        <v>274.92</v>
      </c>
      <c r="J74" s="6" t="n">
        <v>142.77</v>
      </c>
      <c r="K74" s="7" t="n">
        <f aca="false">I74-J74</f>
        <v>132.15</v>
      </c>
      <c r="L74" s="6" t="n">
        <v>0</v>
      </c>
      <c r="M74" s="19" t="s">
        <v>393</v>
      </c>
      <c r="N74" s="19" t="s">
        <v>394</v>
      </c>
      <c r="O74" s="19" t="s">
        <v>31</v>
      </c>
      <c r="P74" s="20" t="s">
        <v>333</v>
      </c>
      <c r="Q74" s="20" t="s">
        <v>372</v>
      </c>
      <c r="R74" s="19" t="s">
        <v>235</v>
      </c>
      <c r="S74" s="19" t="s">
        <v>229</v>
      </c>
      <c r="T74" s="22" t="n">
        <v>0.39</v>
      </c>
      <c r="U74" s="23" t="n">
        <f aca="false">IF(N74="—",0,IF(M74="—",0,IFERROR(DATEVALUE(N74)-DATEVALUE(M74),0)))</f>
        <v>178</v>
      </c>
      <c r="V74" s="20" t="s">
        <v>247</v>
      </c>
    </row>
    <row r="75" customFormat="false" ht="15" hidden="false" customHeight="false" outlineLevel="0" collapsed="false">
      <c r="A75" s="24" t="s">
        <v>395</v>
      </c>
      <c r="B75" s="25" t="s">
        <v>396</v>
      </c>
      <c r="C75" s="24" t="s">
        <v>316</v>
      </c>
      <c r="D75" s="24" t="s">
        <v>109</v>
      </c>
      <c r="E75" s="24" t="s">
        <v>92</v>
      </c>
      <c r="F75" s="26" t="n">
        <v>250</v>
      </c>
      <c r="G75" s="24" t="s">
        <v>291</v>
      </c>
      <c r="H75" s="24" t="s">
        <v>292</v>
      </c>
      <c r="I75" s="6" t="n">
        <v>1293.27</v>
      </c>
      <c r="J75" s="6" t="n">
        <v>30.88</v>
      </c>
      <c r="K75" s="7" t="n">
        <f aca="false">I75-J75</f>
        <v>1262.39</v>
      </c>
      <c r="L75" s="6" t="n">
        <v>0</v>
      </c>
      <c r="M75" s="24" t="s">
        <v>397</v>
      </c>
      <c r="N75" s="24" t="s">
        <v>398</v>
      </c>
      <c r="O75" s="24" t="s">
        <v>31</v>
      </c>
      <c r="P75" s="25" t="s">
        <v>319</v>
      </c>
      <c r="Q75" s="25" t="s">
        <v>372</v>
      </c>
      <c r="R75" s="24" t="s">
        <v>222</v>
      </c>
      <c r="S75" s="24" t="s">
        <v>303</v>
      </c>
      <c r="T75" s="22" t="n">
        <v>0.12</v>
      </c>
      <c r="U75" s="27" t="n">
        <f aca="false">IF(N75="—",0,IF(M75="—",0,IFERROR(DATEVALUE(N75)-DATEVALUE(M75),0)))</f>
        <v>276</v>
      </c>
      <c r="V75" s="25" t="s">
        <v>236</v>
      </c>
    </row>
    <row r="76" customFormat="false" ht="15" hidden="false" customHeight="false" outlineLevel="0" collapsed="false">
      <c r="A76" s="28" t="s">
        <v>399</v>
      </c>
      <c r="B76" s="29" t="s">
        <v>400</v>
      </c>
      <c r="C76" s="28" t="s">
        <v>316</v>
      </c>
      <c r="D76" s="28" t="s">
        <v>136</v>
      </c>
      <c r="E76" s="28" t="s">
        <v>65</v>
      </c>
      <c r="F76" s="30" t="n">
        <v>300</v>
      </c>
      <c r="G76" s="28" t="s">
        <v>291</v>
      </c>
      <c r="H76" s="28" t="s">
        <v>292</v>
      </c>
      <c r="I76" s="6" t="n">
        <v>1551.94</v>
      </c>
      <c r="J76" s="6" t="n">
        <v>76.87</v>
      </c>
      <c r="K76" s="7" t="n">
        <f aca="false">I76-J76</f>
        <v>1475.07</v>
      </c>
      <c r="L76" s="6" t="n">
        <v>0</v>
      </c>
      <c r="M76" s="28" t="s">
        <v>401</v>
      </c>
      <c r="N76" s="28" t="s">
        <v>402</v>
      </c>
      <c r="O76" s="28" t="s">
        <v>31</v>
      </c>
      <c r="P76" s="29" t="s">
        <v>328</v>
      </c>
      <c r="Q76" s="29" t="s">
        <v>372</v>
      </c>
      <c r="R76" s="28" t="s">
        <v>222</v>
      </c>
      <c r="S76" s="28" t="s">
        <v>313</v>
      </c>
      <c r="T76" s="22" t="n">
        <v>0.01</v>
      </c>
      <c r="U76" s="31" t="n">
        <f aca="false">IF(N76="—",0,IF(M76="—",0,IFERROR(DATEVALUE(N76)-DATEVALUE(M76),0)))</f>
        <v>513</v>
      </c>
      <c r="V76" s="29" t="s">
        <v>373</v>
      </c>
    </row>
    <row r="77" customFormat="false" ht="15" hidden="false" customHeight="false" outlineLevel="0" collapsed="false">
      <c r="A77" s="24" t="s">
        <v>403</v>
      </c>
      <c r="B77" s="25" t="s">
        <v>404</v>
      </c>
      <c r="C77" s="24" t="s">
        <v>316</v>
      </c>
      <c r="D77" s="24" t="s">
        <v>57</v>
      </c>
      <c r="E77" s="24" t="s">
        <v>50</v>
      </c>
      <c r="F77" s="26" t="n">
        <v>200</v>
      </c>
      <c r="G77" s="24" t="s">
        <v>291</v>
      </c>
      <c r="H77" s="24" t="s">
        <v>292</v>
      </c>
      <c r="I77" s="6" t="n">
        <v>874.79</v>
      </c>
      <c r="J77" s="6" t="n">
        <v>57.28</v>
      </c>
      <c r="K77" s="7" t="n">
        <f aca="false">I77-J77</f>
        <v>817.51</v>
      </c>
      <c r="L77" s="6" t="n">
        <v>0</v>
      </c>
      <c r="M77" s="24" t="s">
        <v>405</v>
      </c>
      <c r="N77" s="24" t="s">
        <v>406</v>
      </c>
      <c r="O77" s="24" t="s">
        <v>31</v>
      </c>
      <c r="P77" s="25" t="s">
        <v>339</v>
      </c>
      <c r="Q77" s="25" t="s">
        <v>372</v>
      </c>
      <c r="R77" s="24" t="s">
        <v>222</v>
      </c>
      <c r="S77" s="24" t="s">
        <v>303</v>
      </c>
      <c r="T77" s="22" t="n">
        <v>0.04</v>
      </c>
      <c r="U77" s="27" t="n">
        <f aca="false">IF(N77="—",0,IF(M77="—",0,IFERROR(DATEVALUE(N77)-DATEVALUE(M77),0)))</f>
        <v>253</v>
      </c>
      <c r="V77" s="25" t="s">
        <v>230</v>
      </c>
    </row>
  </sheetData>
  <autoFilter ref="A2:V2"/>
  <mergeCells count="1">
    <mergeCell ref="A1:V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4" min="3" style="0" width="22"/>
    <col collapsed="false" customWidth="true" hidden="false" outlineLevel="0" max="8" min="5" style="0" width="20"/>
  </cols>
  <sheetData>
    <row r="1" customFormat="false" ht="31.5" hidden="false" customHeight="true" outlineLevel="0" collapsed="false">
      <c r="A1" s="1" t="s">
        <v>407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32" t="s">
        <v>408</v>
      </c>
      <c r="B2" s="32"/>
      <c r="C2" s="32"/>
      <c r="D2" s="32"/>
      <c r="E2" s="32"/>
      <c r="F2" s="32"/>
      <c r="G2" s="32"/>
      <c r="H2" s="32"/>
    </row>
    <row r="3" customFormat="false" ht="15" hidden="false" customHeight="false" outlineLevel="0" collapsed="false">
      <c r="A3" s="33" t="s">
        <v>409</v>
      </c>
      <c r="B3" s="34" t="n">
        <f aca="false">COUNTA('Master Data'!A3:A77)</f>
        <v>75</v>
      </c>
    </row>
    <row r="4" customFormat="false" ht="15" hidden="false" customHeight="false" outlineLevel="0" collapsed="false">
      <c r="A4" s="33" t="s">
        <v>410</v>
      </c>
      <c r="B4" s="34" t="n">
        <f aca="false">COUNTIF('Master Data'!C3:C77,"Solar")</f>
        <v>55</v>
      </c>
    </row>
    <row r="5" customFormat="false" ht="15" hidden="false" customHeight="false" outlineLevel="0" collapsed="false">
      <c r="A5" s="33" t="s">
        <v>411</v>
      </c>
      <c r="B5" s="34" t="n">
        <f aca="false">COUNTIF('Master Data'!C3:C77,"Wind")</f>
        <v>20</v>
      </c>
    </row>
    <row r="6" customFormat="false" ht="15" hidden="false" customHeight="false" outlineLevel="0" collapsed="false">
      <c r="A6" s="33" t="s">
        <v>29</v>
      </c>
      <c r="B6" s="34" t="n">
        <f aca="false">COUNTIF('Master Data'!H3:H77,"Commissioned")</f>
        <v>40</v>
      </c>
    </row>
    <row r="7" customFormat="false" ht="15" hidden="false" customHeight="false" outlineLevel="0" collapsed="false">
      <c r="A7" s="33" t="s">
        <v>196</v>
      </c>
      <c r="B7" s="34" t="n">
        <f aca="false">COUNTIF('Master Data'!H3:H77,"Ongoing")</f>
        <v>27</v>
      </c>
    </row>
    <row r="8" customFormat="false" ht="15" hidden="false" customHeight="false" outlineLevel="0" collapsed="false">
      <c r="A8" s="33" t="s">
        <v>292</v>
      </c>
      <c r="B8" s="34" t="n">
        <f aca="false">COUNTIF('Master Data'!H3:H77,"Planned")</f>
        <v>8</v>
      </c>
    </row>
    <row r="9" customFormat="false" ht="15" hidden="false" customHeight="false" outlineLevel="0" collapsed="false">
      <c r="A9" s="33" t="s">
        <v>412</v>
      </c>
      <c r="B9" s="34" t="n">
        <f aca="false">SUMIF('Master Data'!H3:H77,"Commissioned",'Master Data'!F3:F77)</f>
        <v>7900</v>
      </c>
    </row>
    <row r="10" customFormat="false" ht="23.85" hidden="false" customHeight="false" outlineLevel="0" collapsed="false">
      <c r="A10" s="33" t="s">
        <v>413</v>
      </c>
      <c r="B10" s="35" t="n">
        <f aca="false">SUM('Master Data'!I3:I77)</f>
        <v>76012.84</v>
      </c>
    </row>
    <row r="11" customFormat="false" ht="15" hidden="false" customHeight="false" outlineLevel="0" collapsed="false">
      <c r="A11" s="33" t="s">
        <v>414</v>
      </c>
      <c r="B11" s="35" t="n">
        <f aca="false">SUM('Master Data'!J3:J77)</f>
        <v>54099.64</v>
      </c>
    </row>
    <row r="12" customFormat="false" ht="15" hidden="false" customHeight="false" outlineLevel="0" collapsed="false">
      <c r="A12" s="33" t="s">
        <v>415</v>
      </c>
      <c r="B12" s="35" t="n">
        <f aca="false">SUM('Master Data'!L3:L77)</f>
        <v>9045.97</v>
      </c>
    </row>
    <row r="14" customFormat="false" ht="15" hidden="false" customHeight="true" outlineLevel="0" collapsed="false">
      <c r="A14" s="32" t="s">
        <v>416</v>
      </c>
      <c r="B14" s="32"/>
      <c r="C14" s="32"/>
      <c r="D14" s="32"/>
      <c r="E14" s="32"/>
      <c r="F14" s="32"/>
      <c r="G14" s="32"/>
      <c r="H14" s="32"/>
    </row>
    <row r="15" customFormat="false" ht="15" hidden="false" customHeight="false" outlineLevel="0" collapsed="false">
      <c r="A15" s="2" t="s">
        <v>5</v>
      </c>
      <c r="B15" s="2" t="s">
        <v>417</v>
      </c>
      <c r="C15" s="2" t="s">
        <v>412</v>
      </c>
      <c r="D15" s="2" t="s">
        <v>418</v>
      </c>
    </row>
    <row r="16" customFormat="false" ht="15" hidden="false" customHeight="false" outlineLevel="0" collapsed="false">
      <c r="A16" s="36" t="s">
        <v>92</v>
      </c>
      <c r="B16" s="37" t="n">
        <f aca="false">COUNTIF('Master Data'!E3:E77,"Andhra Pradesh")</f>
        <v>8</v>
      </c>
      <c r="C16" s="38" t="n">
        <f aca="false">SUMIF('Master Data'!E3:E77,"Andhra Pradesh",'Master Data'!F3:F77)</f>
        <v>1800</v>
      </c>
      <c r="D16" s="39" t="n">
        <f aca="false">SUMIF('Master Data'!E3:E77,"Andhra Pradesh",'Master Data'!I3:I77)</f>
        <v>8597.08</v>
      </c>
    </row>
    <row r="17" customFormat="false" ht="15" hidden="false" customHeight="false" outlineLevel="0" collapsed="false">
      <c r="A17" s="40" t="s">
        <v>65</v>
      </c>
      <c r="B17" s="41" t="n">
        <f aca="false">COUNTIF('Master Data'!E3:E77,"Gujarat")</f>
        <v>21</v>
      </c>
      <c r="C17" s="42" t="n">
        <f aca="false">SUMIF('Master Data'!E3:E77,"Gujarat",'Master Data'!F3:F77)</f>
        <v>4150</v>
      </c>
      <c r="D17" s="43" t="n">
        <f aca="false">SUMIF('Master Data'!E3:E77,"Gujarat",'Master Data'!I3:I77)</f>
        <v>19555.54</v>
      </c>
    </row>
    <row r="18" customFormat="false" ht="15" hidden="false" customHeight="false" outlineLevel="0" collapsed="false">
      <c r="A18" s="36" t="s">
        <v>27</v>
      </c>
      <c r="B18" s="37" t="n">
        <f aca="false">COUNTIF('Master Data'!E3:E77,"Karnataka")</f>
        <v>13</v>
      </c>
      <c r="C18" s="38" t="n">
        <f aca="false">SUMIF('Master Data'!E3:E77,"Karnataka",'Master Data'!F3:F77)</f>
        <v>2800</v>
      </c>
      <c r="D18" s="39" t="n">
        <f aca="false">SUMIF('Master Data'!E3:E77,"Karnataka",'Master Data'!I3:I77)</f>
        <v>13887.51</v>
      </c>
    </row>
    <row r="19" customFormat="false" ht="15" hidden="false" customHeight="false" outlineLevel="0" collapsed="false">
      <c r="A19" s="40" t="s">
        <v>78</v>
      </c>
      <c r="B19" s="41" t="n">
        <f aca="false">COUNTIF('Master Data'!E3:E77,"Maharashtra")</f>
        <v>8</v>
      </c>
      <c r="C19" s="42" t="n">
        <f aca="false">SUMIF('Master Data'!E3:E77,"Maharashtra",'Master Data'!F3:F77)</f>
        <v>1600</v>
      </c>
      <c r="D19" s="43" t="n">
        <f aca="false">SUMIF('Master Data'!E3:E77,"Maharashtra",'Master Data'!I3:I77)</f>
        <v>7586.45</v>
      </c>
    </row>
    <row r="20" customFormat="false" ht="15" hidden="false" customHeight="false" outlineLevel="0" collapsed="false">
      <c r="A20" s="36" t="s">
        <v>50</v>
      </c>
      <c r="B20" s="37" t="n">
        <f aca="false">COUNTIF('Master Data'!E3:E77,"Rajasthan")</f>
        <v>25</v>
      </c>
      <c r="C20" s="38" t="n">
        <f aca="false">SUMIF('Master Data'!E3:E77,"Rajasthan",'Master Data'!F3:F77)</f>
        <v>5400</v>
      </c>
      <c r="D20" s="39" t="n">
        <f aca="false">SUMIF('Master Data'!E3:E77,"Rajasthan",'Master Data'!I3:I77)</f>
        <v>26386.26</v>
      </c>
    </row>
  </sheetData>
  <mergeCells count="3">
    <mergeCell ref="A1:H1"/>
    <mergeCell ref="A2:H2"/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10" min="9" style="0" width="18"/>
    <col collapsed="false" customWidth="true" hidden="false" outlineLevel="0" max="12" min="11" style="0" width="28"/>
    <col collapsed="false" customWidth="true" hidden="false" outlineLevel="0" max="13" min="13" style="0" width="30"/>
    <col collapsed="false" customWidth="true" hidden="false" outlineLevel="0" max="14" min="14" style="0" width="18"/>
    <col collapsed="false" customWidth="true" hidden="false" outlineLevel="0" max="15" min="15" style="0" width="34"/>
  </cols>
  <sheetData>
    <row r="1" customFormat="false" ht="27.75" hidden="false" customHeight="true" outlineLevel="0" collapsed="false">
      <c r="A1" s="44" t="s">
        <v>419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9</v>
      </c>
      <c r="H2" s="2" t="s">
        <v>10</v>
      </c>
      <c r="I2" s="2" t="s">
        <v>13</v>
      </c>
      <c r="J2" s="2" t="s">
        <v>14</v>
      </c>
      <c r="K2" s="2" t="s">
        <v>16</v>
      </c>
      <c r="L2" s="2" t="s">
        <v>18</v>
      </c>
      <c r="M2" s="2" t="s">
        <v>19</v>
      </c>
      <c r="N2" s="2" t="s">
        <v>20</v>
      </c>
      <c r="O2" s="2" t="s">
        <v>22</v>
      </c>
    </row>
    <row r="3" customFormat="false" ht="15" hidden="false" customHeight="false" outlineLevel="0" collapsed="false">
      <c r="A3" s="14" t="s">
        <v>193</v>
      </c>
      <c r="B3" s="15" t="s">
        <v>194</v>
      </c>
      <c r="C3" s="14" t="s">
        <v>115</v>
      </c>
      <c r="D3" s="14" t="s">
        <v>50</v>
      </c>
      <c r="E3" s="14" t="n">
        <v>50</v>
      </c>
      <c r="F3" s="14" t="s">
        <v>195</v>
      </c>
      <c r="G3" s="45" t="n">
        <v>250.24</v>
      </c>
      <c r="H3" s="45" t="n">
        <v>163.73</v>
      </c>
      <c r="I3" s="14" t="s">
        <v>197</v>
      </c>
      <c r="J3" s="14" t="s">
        <v>198</v>
      </c>
      <c r="K3" s="15" t="s">
        <v>170</v>
      </c>
      <c r="L3" s="15" t="s">
        <v>199</v>
      </c>
      <c r="M3" s="15" t="s">
        <v>200</v>
      </c>
      <c r="N3" s="46" t="n">
        <v>0.51</v>
      </c>
      <c r="O3" s="15" t="s">
        <v>201</v>
      </c>
    </row>
    <row r="4" customFormat="false" ht="15" hidden="false" customHeight="false" outlineLevel="0" collapsed="false">
      <c r="A4" s="14" t="s">
        <v>202</v>
      </c>
      <c r="B4" s="15" t="s">
        <v>203</v>
      </c>
      <c r="C4" s="14" t="s">
        <v>121</v>
      </c>
      <c r="D4" s="14" t="s">
        <v>27</v>
      </c>
      <c r="E4" s="14" t="n">
        <v>500</v>
      </c>
      <c r="F4" s="14" t="s">
        <v>195</v>
      </c>
      <c r="G4" s="45" t="n">
        <v>2615.4</v>
      </c>
      <c r="H4" s="45" t="n">
        <v>1907.22</v>
      </c>
      <c r="I4" s="14" t="s">
        <v>204</v>
      </c>
      <c r="J4" s="14" t="s">
        <v>205</v>
      </c>
      <c r="K4" s="15" t="s">
        <v>33</v>
      </c>
      <c r="L4" s="15" t="s">
        <v>206</v>
      </c>
      <c r="M4" s="15" t="s">
        <v>200</v>
      </c>
      <c r="N4" s="46" t="n">
        <v>0.48</v>
      </c>
      <c r="O4" s="15" t="s">
        <v>207</v>
      </c>
    </row>
    <row r="5" customFormat="false" ht="15" hidden="false" customHeight="false" outlineLevel="0" collapsed="false">
      <c r="A5" s="14" t="s">
        <v>208</v>
      </c>
      <c r="B5" s="15" t="s">
        <v>209</v>
      </c>
      <c r="C5" s="14" t="s">
        <v>126</v>
      </c>
      <c r="D5" s="14" t="s">
        <v>78</v>
      </c>
      <c r="E5" s="14" t="n">
        <v>100</v>
      </c>
      <c r="F5" s="14" t="s">
        <v>195</v>
      </c>
      <c r="G5" s="45" t="n">
        <v>459.95</v>
      </c>
      <c r="H5" s="45" t="n">
        <v>363.19</v>
      </c>
      <c r="I5" s="14" t="s">
        <v>198</v>
      </c>
      <c r="J5" s="14" t="s">
        <v>210</v>
      </c>
      <c r="K5" s="15" t="s">
        <v>118</v>
      </c>
      <c r="L5" s="15" t="s">
        <v>206</v>
      </c>
      <c r="M5" s="15" t="s">
        <v>46</v>
      </c>
      <c r="N5" s="46" t="n">
        <v>0.62</v>
      </c>
      <c r="O5" s="15" t="s">
        <v>207</v>
      </c>
    </row>
    <row r="6" customFormat="false" ht="15" hidden="false" customHeight="false" outlineLevel="0" collapsed="false">
      <c r="A6" s="14" t="s">
        <v>212</v>
      </c>
      <c r="B6" s="15" t="s">
        <v>213</v>
      </c>
      <c r="C6" s="14" t="s">
        <v>131</v>
      </c>
      <c r="D6" s="14" t="s">
        <v>50</v>
      </c>
      <c r="E6" s="14" t="n">
        <v>50</v>
      </c>
      <c r="F6" s="14" t="s">
        <v>195</v>
      </c>
      <c r="G6" s="45" t="n">
        <v>258.98</v>
      </c>
      <c r="H6" s="45" t="n">
        <v>126.9</v>
      </c>
      <c r="I6" s="14" t="s">
        <v>214</v>
      </c>
      <c r="J6" s="14" t="s">
        <v>215</v>
      </c>
      <c r="K6" s="15" t="s">
        <v>81</v>
      </c>
      <c r="L6" s="15" t="s">
        <v>206</v>
      </c>
      <c r="M6" s="15" t="s">
        <v>216</v>
      </c>
      <c r="N6" s="46" t="n">
        <v>0.85</v>
      </c>
      <c r="O6" s="15" t="s">
        <v>207</v>
      </c>
    </row>
    <row r="7" customFormat="false" ht="15" hidden="false" customHeight="false" outlineLevel="0" collapsed="false">
      <c r="A7" s="14" t="s">
        <v>217</v>
      </c>
      <c r="B7" s="15" t="s">
        <v>218</v>
      </c>
      <c r="C7" s="14" t="s">
        <v>136</v>
      </c>
      <c r="D7" s="14" t="s">
        <v>65</v>
      </c>
      <c r="E7" s="14" t="n">
        <v>50</v>
      </c>
      <c r="F7" s="14" t="s">
        <v>219</v>
      </c>
      <c r="G7" s="45" t="n">
        <v>205.25</v>
      </c>
      <c r="H7" s="45" t="n">
        <v>126.3</v>
      </c>
      <c r="I7" s="14" t="s">
        <v>220</v>
      </c>
      <c r="J7" s="14" t="s">
        <v>221</v>
      </c>
      <c r="K7" s="15" t="s">
        <v>170</v>
      </c>
      <c r="L7" s="15" t="s">
        <v>222</v>
      </c>
      <c r="M7" s="15" t="s">
        <v>223</v>
      </c>
      <c r="N7" s="46" t="n">
        <v>0.62</v>
      </c>
      <c r="O7" s="15" t="s">
        <v>207</v>
      </c>
    </row>
    <row r="8" customFormat="false" ht="15" hidden="false" customHeight="false" outlineLevel="0" collapsed="false">
      <c r="A8" s="14" t="s">
        <v>224</v>
      </c>
      <c r="B8" s="15" t="s">
        <v>225</v>
      </c>
      <c r="C8" s="14" t="s">
        <v>141</v>
      </c>
      <c r="D8" s="14" t="s">
        <v>50</v>
      </c>
      <c r="E8" s="14" t="n">
        <v>400</v>
      </c>
      <c r="F8" s="14" t="s">
        <v>195</v>
      </c>
      <c r="G8" s="45" t="n">
        <v>1715.1</v>
      </c>
      <c r="H8" s="45" t="n">
        <v>1056.01</v>
      </c>
      <c r="I8" s="14" t="s">
        <v>226</v>
      </c>
      <c r="J8" s="14" t="s">
        <v>227</v>
      </c>
      <c r="K8" s="15" t="s">
        <v>81</v>
      </c>
      <c r="L8" s="15" t="s">
        <v>228</v>
      </c>
      <c r="M8" s="15" t="s">
        <v>229</v>
      </c>
      <c r="N8" s="46" t="n">
        <v>0.68</v>
      </c>
      <c r="O8" s="15" t="s">
        <v>230</v>
      </c>
    </row>
    <row r="9" customFormat="false" ht="15" hidden="false" customHeight="false" outlineLevel="0" collapsed="false">
      <c r="A9" s="14" t="s">
        <v>231</v>
      </c>
      <c r="B9" s="15" t="s">
        <v>232</v>
      </c>
      <c r="C9" s="14" t="s">
        <v>26</v>
      </c>
      <c r="D9" s="14" t="s">
        <v>27</v>
      </c>
      <c r="E9" s="14" t="n">
        <v>50</v>
      </c>
      <c r="F9" s="14" t="s">
        <v>219</v>
      </c>
      <c r="G9" s="45" t="n">
        <v>243.5</v>
      </c>
      <c r="H9" s="45" t="n">
        <v>148.56</v>
      </c>
      <c r="I9" s="14" t="s">
        <v>233</v>
      </c>
      <c r="J9" s="14" t="s">
        <v>234</v>
      </c>
      <c r="K9" s="15" t="s">
        <v>60</v>
      </c>
      <c r="L9" s="15" t="s">
        <v>235</v>
      </c>
      <c r="M9" s="15" t="s">
        <v>216</v>
      </c>
      <c r="N9" s="46" t="n">
        <v>0.79</v>
      </c>
      <c r="O9" s="15" t="s">
        <v>236</v>
      </c>
    </row>
    <row r="10" customFormat="false" ht="15" hidden="false" customHeight="false" outlineLevel="0" collapsed="false">
      <c r="A10" s="14" t="s">
        <v>237</v>
      </c>
      <c r="B10" s="15" t="s">
        <v>238</v>
      </c>
      <c r="C10" s="14" t="s">
        <v>40</v>
      </c>
      <c r="D10" s="14" t="s">
        <v>27</v>
      </c>
      <c r="E10" s="14" t="n">
        <v>150</v>
      </c>
      <c r="F10" s="14" t="s">
        <v>195</v>
      </c>
      <c r="G10" s="45" t="n">
        <v>814.2</v>
      </c>
      <c r="H10" s="45" t="n">
        <v>308.73</v>
      </c>
      <c r="I10" s="14" t="s">
        <v>239</v>
      </c>
      <c r="J10" s="14" t="s">
        <v>240</v>
      </c>
      <c r="K10" s="15" t="s">
        <v>153</v>
      </c>
      <c r="L10" s="15" t="s">
        <v>228</v>
      </c>
      <c r="M10" s="15" t="s">
        <v>200</v>
      </c>
      <c r="N10" s="46" t="n">
        <v>0.59</v>
      </c>
      <c r="O10" s="15" t="s">
        <v>201</v>
      </c>
    </row>
    <row r="11" customFormat="false" ht="15" hidden="false" customHeight="false" outlineLevel="0" collapsed="false">
      <c r="A11" s="14" t="s">
        <v>241</v>
      </c>
      <c r="B11" s="15" t="s">
        <v>242</v>
      </c>
      <c r="C11" s="14" t="s">
        <v>49</v>
      </c>
      <c r="D11" s="14" t="s">
        <v>50</v>
      </c>
      <c r="E11" s="14" t="n">
        <v>200</v>
      </c>
      <c r="F11" s="14" t="s">
        <v>219</v>
      </c>
      <c r="G11" s="45" t="n">
        <v>1065.84</v>
      </c>
      <c r="H11" s="45" t="n">
        <v>603.93</v>
      </c>
      <c r="I11" s="14" t="s">
        <v>205</v>
      </c>
      <c r="J11" s="14" t="s">
        <v>243</v>
      </c>
      <c r="K11" s="15" t="s">
        <v>60</v>
      </c>
      <c r="L11" s="15" t="s">
        <v>235</v>
      </c>
      <c r="M11" s="15" t="s">
        <v>216</v>
      </c>
      <c r="N11" s="46" t="n">
        <v>0.69</v>
      </c>
      <c r="O11" s="15" t="s">
        <v>201</v>
      </c>
    </row>
    <row r="12" customFormat="false" ht="15" hidden="false" customHeight="false" outlineLevel="0" collapsed="false">
      <c r="A12" s="14" t="s">
        <v>244</v>
      </c>
      <c r="B12" s="15" t="s">
        <v>159</v>
      </c>
      <c r="C12" s="14" t="s">
        <v>57</v>
      </c>
      <c r="D12" s="14" t="s">
        <v>50</v>
      </c>
      <c r="E12" s="14" t="n">
        <v>100</v>
      </c>
      <c r="F12" s="14" t="s">
        <v>219</v>
      </c>
      <c r="G12" s="45" t="n">
        <v>469.68</v>
      </c>
      <c r="H12" s="45" t="n">
        <v>261.41</v>
      </c>
      <c r="I12" s="14" t="s">
        <v>245</v>
      </c>
      <c r="J12" s="14" t="s">
        <v>246</v>
      </c>
      <c r="K12" s="15" t="s">
        <v>112</v>
      </c>
      <c r="L12" s="15" t="s">
        <v>235</v>
      </c>
      <c r="M12" s="15" t="s">
        <v>200</v>
      </c>
      <c r="N12" s="46" t="n">
        <v>0.35</v>
      </c>
      <c r="O12" s="15" t="s">
        <v>247</v>
      </c>
    </row>
    <row r="13" customFormat="false" ht="15" hidden="false" customHeight="false" outlineLevel="0" collapsed="false">
      <c r="A13" s="14" t="s">
        <v>248</v>
      </c>
      <c r="B13" s="15" t="s">
        <v>249</v>
      </c>
      <c r="C13" s="14" t="s">
        <v>64</v>
      </c>
      <c r="D13" s="14" t="s">
        <v>65</v>
      </c>
      <c r="E13" s="14" t="n">
        <v>500</v>
      </c>
      <c r="F13" s="14" t="s">
        <v>195</v>
      </c>
      <c r="G13" s="45" t="n">
        <v>2672.91</v>
      </c>
      <c r="H13" s="45" t="n">
        <v>1761.48</v>
      </c>
      <c r="I13" s="14" t="s">
        <v>250</v>
      </c>
      <c r="J13" s="14" t="s">
        <v>251</v>
      </c>
      <c r="K13" s="15" t="s">
        <v>60</v>
      </c>
      <c r="L13" s="15" t="s">
        <v>235</v>
      </c>
      <c r="M13" s="15" t="s">
        <v>223</v>
      </c>
      <c r="N13" s="46" t="n">
        <v>0.8</v>
      </c>
      <c r="O13" s="15" t="s">
        <v>236</v>
      </c>
    </row>
    <row r="14" customFormat="false" ht="15" hidden="false" customHeight="false" outlineLevel="0" collapsed="false">
      <c r="A14" s="14" t="s">
        <v>252</v>
      </c>
      <c r="B14" s="15" t="s">
        <v>253</v>
      </c>
      <c r="C14" s="14" t="s">
        <v>72</v>
      </c>
      <c r="D14" s="14" t="s">
        <v>65</v>
      </c>
      <c r="E14" s="14" t="n">
        <v>200</v>
      </c>
      <c r="F14" s="14" t="s">
        <v>219</v>
      </c>
      <c r="G14" s="45" t="n">
        <v>881.51</v>
      </c>
      <c r="H14" s="45" t="n">
        <v>375.38</v>
      </c>
      <c r="I14" s="14" t="s">
        <v>254</v>
      </c>
      <c r="J14" s="14" t="s">
        <v>255</v>
      </c>
      <c r="K14" s="15" t="s">
        <v>60</v>
      </c>
      <c r="L14" s="15" t="s">
        <v>228</v>
      </c>
      <c r="M14" s="15" t="s">
        <v>200</v>
      </c>
      <c r="N14" s="46" t="n">
        <v>0.3</v>
      </c>
      <c r="O14" s="15" t="s">
        <v>256</v>
      </c>
    </row>
    <row r="15" customFormat="false" ht="15" hidden="false" customHeight="false" outlineLevel="0" collapsed="false">
      <c r="A15" s="14" t="s">
        <v>257</v>
      </c>
      <c r="B15" s="15" t="s">
        <v>258</v>
      </c>
      <c r="C15" s="14" t="s">
        <v>77</v>
      </c>
      <c r="D15" s="14" t="s">
        <v>78</v>
      </c>
      <c r="E15" s="14" t="n">
        <v>200</v>
      </c>
      <c r="F15" s="14" t="s">
        <v>195</v>
      </c>
      <c r="G15" s="45" t="n">
        <v>939.78</v>
      </c>
      <c r="H15" s="45" t="n">
        <v>267.13</v>
      </c>
      <c r="I15" s="14" t="s">
        <v>259</v>
      </c>
      <c r="J15" s="14" t="s">
        <v>260</v>
      </c>
      <c r="K15" s="15" t="s">
        <v>44</v>
      </c>
      <c r="L15" s="15" t="s">
        <v>235</v>
      </c>
      <c r="M15" s="15" t="s">
        <v>229</v>
      </c>
      <c r="N15" s="46" t="n">
        <v>0.73</v>
      </c>
      <c r="O15" s="15" t="s">
        <v>230</v>
      </c>
    </row>
    <row r="16" customFormat="false" ht="15" hidden="false" customHeight="false" outlineLevel="0" collapsed="false">
      <c r="A16" s="14" t="s">
        <v>261</v>
      </c>
      <c r="B16" s="15" t="s">
        <v>262</v>
      </c>
      <c r="C16" s="14" t="s">
        <v>85</v>
      </c>
      <c r="D16" s="14" t="s">
        <v>65</v>
      </c>
      <c r="E16" s="14" t="n">
        <v>500</v>
      </c>
      <c r="F16" s="14" t="s">
        <v>195</v>
      </c>
      <c r="G16" s="45" t="n">
        <v>2292.49</v>
      </c>
      <c r="H16" s="45" t="n">
        <v>1697.37</v>
      </c>
      <c r="I16" s="14" t="s">
        <v>263</v>
      </c>
      <c r="J16" s="14" t="s">
        <v>264</v>
      </c>
      <c r="K16" s="15" t="s">
        <v>81</v>
      </c>
      <c r="L16" s="15" t="s">
        <v>222</v>
      </c>
      <c r="M16" s="15" t="s">
        <v>229</v>
      </c>
      <c r="N16" s="46" t="n">
        <v>0.73</v>
      </c>
      <c r="O16" s="15" t="s">
        <v>236</v>
      </c>
    </row>
    <row r="17" customFormat="false" ht="15" hidden="false" customHeight="false" outlineLevel="0" collapsed="false">
      <c r="A17" s="14" t="s">
        <v>265</v>
      </c>
      <c r="B17" s="15" t="s">
        <v>266</v>
      </c>
      <c r="C17" s="14" t="s">
        <v>91</v>
      </c>
      <c r="D17" s="14" t="s">
        <v>92</v>
      </c>
      <c r="E17" s="14" t="n">
        <v>200</v>
      </c>
      <c r="F17" s="14" t="s">
        <v>195</v>
      </c>
      <c r="G17" s="45" t="n">
        <v>900.84</v>
      </c>
      <c r="H17" s="45" t="n">
        <v>561.7</v>
      </c>
      <c r="I17" s="14" t="s">
        <v>267</v>
      </c>
      <c r="J17" s="14" t="s">
        <v>268</v>
      </c>
      <c r="K17" s="15" t="s">
        <v>153</v>
      </c>
      <c r="L17" s="15" t="s">
        <v>228</v>
      </c>
      <c r="M17" s="15" t="s">
        <v>216</v>
      </c>
      <c r="N17" s="46" t="n">
        <v>0.71</v>
      </c>
      <c r="O17" s="15" t="s">
        <v>201</v>
      </c>
    </row>
    <row r="18" customFormat="false" ht="15" hidden="false" customHeight="false" outlineLevel="0" collapsed="false">
      <c r="A18" s="14" t="s">
        <v>269</v>
      </c>
      <c r="B18" s="15" t="s">
        <v>270</v>
      </c>
      <c r="C18" s="14" t="s">
        <v>98</v>
      </c>
      <c r="D18" s="14" t="s">
        <v>65</v>
      </c>
      <c r="E18" s="14" t="n">
        <v>400</v>
      </c>
      <c r="F18" s="14" t="s">
        <v>219</v>
      </c>
      <c r="G18" s="45" t="n">
        <v>1857.17</v>
      </c>
      <c r="H18" s="45" t="n">
        <v>1349.73</v>
      </c>
      <c r="I18" s="14" t="s">
        <v>271</v>
      </c>
      <c r="J18" s="14" t="s">
        <v>272</v>
      </c>
      <c r="K18" s="15" t="s">
        <v>33</v>
      </c>
      <c r="L18" s="15" t="s">
        <v>206</v>
      </c>
      <c r="M18" s="15" t="s">
        <v>223</v>
      </c>
      <c r="N18" s="46" t="n">
        <v>0.43</v>
      </c>
      <c r="O18" s="15" t="s">
        <v>273</v>
      </c>
    </row>
    <row r="19" customFormat="false" ht="15" hidden="false" customHeight="false" outlineLevel="0" collapsed="false">
      <c r="A19" s="14" t="s">
        <v>274</v>
      </c>
      <c r="B19" s="15" t="s">
        <v>275</v>
      </c>
      <c r="C19" s="14" t="s">
        <v>104</v>
      </c>
      <c r="D19" s="14" t="s">
        <v>50</v>
      </c>
      <c r="E19" s="14" t="n">
        <v>500</v>
      </c>
      <c r="F19" s="14" t="s">
        <v>195</v>
      </c>
      <c r="G19" s="45" t="n">
        <v>2713.4</v>
      </c>
      <c r="H19" s="45" t="n">
        <v>1307.48</v>
      </c>
      <c r="I19" s="14" t="s">
        <v>276</v>
      </c>
      <c r="J19" s="14" t="s">
        <v>260</v>
      </c>
      <c r="K19" s="15" t="s">
        <v>95</v>
      </c>
      <c r="L19" s="15" t="s">
        <v>235</v>
      </c>
      <c r="M19" s="15" t="s">
        <v>46</v>
      </c>
      <c r="N19" s="46" t="n">
        <v>0.3</v>
      </c>
      <c r="O19" s="15" t="s">
        <v>247</v>
      </c>
    </row>
    <row r="20" customFormat="false" ht="15" hidden="false" customHeight="false" outlineLevel="0" collapsed="false">
      <c r="A20" s="14" t="s">
        <v>277</v>
      </c>
      <c r="B20" s="15" t="s">
        <v>278</v>
      </c>
      <c r="C20" s="14" t="s">
        <v>109</v>
      </c>
      <c r="D20" s="14" t="s">
        <v>92</v>
      </c>
      <c r="E20" s="14" t="n">
        <v>200</v>
      </c>
      <c r="F20" s="14" t="s">
        <v>219</v>
      </c>
      <c r="G20" s="45" t="n">
        <v>859.81</v>
      </c>
      <c r="H20" s="45" t="n">
        <v>224.59</v>
      </c>
      <c r="I20" s="14" t="s">
        <v>279</v>
      </c>
      <c r="J20" s="14" t="s">
        <v>280</v>
      </c>
      <c r="K20" s="15" t="s">
        <v>112</v>
      </c>
      <c r="L20" s="15" t="s">
        <v>228</v>
      </c>
      <c r="M20" s="15" t="s">
        <v>200</v>
      </c>
      <c r="N20" s="46" t="n">
        <v>0.39</v>
      </c>
      <c r="O20" s="15" t="s">
        <v>273</v>
      </c>
    </row>
    <row r="21" customFormat="false" ht="15" hidden="false" customHeight="false" outlineLevel="0" collapsed="false">
      <c r="A21" s="14" t="s">
        <v>281</v>
      </c>
      <c r="B21" s="15" t="s">
        <v>282</v>
      </c>
      <c r="C21" s="14" t="s">
        <v>115</v>
      </c>
      <c r="D21" s="14" t="s">
        <v>50</v>
      </c>
      <c r="E21" s="14" t="n">
        <v>500</v>
      </c>
      <c r="F21" s="14" t="s">
        <v>219</v>
      </c>
      <c r="G21" s="45" t="n">
        <v>2722.8</v>
      </c>
      <c r="H21" s="45" t="n">
        <v>1756.47</v>
      </c>
      <c r="I21" s="14" t="s">
        <v>283</v>
      </c>
      <c r="J21" s="14" t="s">
        <v>284</v>
      </c>
      <c r="K21" s="15" t="s">
        <v>81</v>
      </c>
      <c r="L21" s="15" t="s">
        <v>199</v>
      </c>
      <c r="M21" s="15" t="s">
        <v>46</v>
      </c>
      <c r="N21" s="46" t="n">
        <v>0.4</v>
      </c>
      <c r="O21" s="15" t="s">
        <v>207</v>
      </c>
    </row>
    <row r="22" customFormat="false" ht="15" hidden="false" customHeight="false" outlineLevel="0" collapsed="false">
      <c r="A22" s="14" t="s">
        <v>285</v>
      </c>
      <c r="B22" s="15" t="s">
        <v>286</v>
      </c>
      <c r="C22" s="14" t="s">
        <v>121</v>
      </c>
      <c r="D22" s="14" t="s">
        <v>27</v>
      </c>
      <c r="E22" s="14" t="n">
        <v>400</v>
      </c>
      <c r="F22" s="14" t="s">
        <v>219</v>
      </c>
      <c r="G22" s="45" t="n">
        <v>2014.37</v>
      </c>
      <c r="H22" s="45" t="n">
        <v>1198.52</v>
      </c>
      <c r="I22" s="14" t="s">
        <v>287</v>
      </c>
      <c r="J22" s="14" t="s">
        <v>288</v>
      </c>
      <c r="K22" s="15" t="s">
        <v>170</v>
      </c>
      <c r="L22" s="15" t="s">
        <v>199</v>
      </c>
      <c r="M22" s="15" t="s">
        <v>229</v>
      </c>
      <c r="N22" s="46" t="n">
        <v>0.33</v>
      </c>
      <c r="O22" s="15" t="s">
        <v>201</v>
      </c>
    </row>
    <row r="23" customFormat="false" ht="15" hidden="false" customHeight="false" outlineLevel="0" collapsed="false">
      <c r="A23" s="24" t="s">
        <v>289</v>
      </c>
      <c r="B23" s="25" t="s">
        <v>290</v>
      </c>
      <c r="C23" s="24" t="s">
        <v>126</v>
      </c>
      <c r="D23" s="24" t="s">
        <v>78</v>
      </c>
      <c r="E23" s="24" t="n">
        <v>300</v>
      </c>
      <c r="F23" s="24" t="s">
        <v>291</v>
      </c>
      <c r="G23" s="47" t="n">
        <v>1411.97</v>
      </c>
      <c r="H23" s="47" t="n">
        <v>1.79</v>
      </c>
      <c r="I23" s="24" t="s">
        <v>293</v>
      </c>
      <c r="J23" s="24" t="s">
        <v>246</v>
      </c>
      <c r="K23" s="25" t="s">
        <v>33</v>
      </c>
      <c r="L23" s="25" t="s">
        <v>294</v>
      </c>
      <c r="M23" s="25" t="s">
        <v>229</v>
      </c>
      <c r="N23" s="48" t="n">
        <v>0.13</v>
      </c>
      <c r="O23" s="25" t="s">
        <v>236</v>
      </c>
    </row>
    <row r="24" customFormat="false" ht="15" hidden="false" customHeight="false" outlineLevel="0" collapsed="false">
      <c r="A24" s="24" t="s">
        <v>295</v>
      </c>
      <c r="B24" s="25" t="s">
        <v>296</v>
      </c>
      <c r="C24" s="24" t="s">
        <v>131</v>
      </c>
      <c r="D24" s="24" t="s">
        <v>50</v>
      </c>
      <c r="E24" s="24" t="n">
        <v>150</v>
      </c>
      <c r="F24" s="24" t="s">
        <v>291</v>
      </c>
      <c r="G24" s="47" t="n">
        <v>732.67</v>
      </c>
      <c r="H24" s="47" t="n">
        <v>34.06</v>
      </c>
      <c r="I24" s="24" t="s">
        <v>297</v>
      </c>
      <c r="J24" s="24" t="s">
        <v>298</v>
      </c>
      <c r="K24" s="25" t="s">
        <v>170</v>
      </c>
      <c r="L24" s="25" t="s">
        <v>294</v>
      </c>
      <c r="M24" s="25" t="s">
        <v>229</v>
      </c>
      <c r="N24" s="48" t="n">
        <v>0.08</v>
      </c>
      <c r="O24" s="25" t="s">
        <v>236</v>
      </c>
    </row>
    <row r="25" customFormat="false" ht="15" hidden="false" customHeight="false" outlineLevel="0" collapsed="false">
      <c r="A25" s="24" t="s">
        <v>299</v>
      </c>
      <c r="B25" s="25" t="s">
        <v>300</v>
      </c>
      <c r="C25" s="24" t="s">
        <v>136</v>
      </c>
      <c r="D25" s="24" t="s">
        <v>65</v>
      </c>
      <c r="E25" s="24" t="n">
        <v>200</v>
      </c>
      <c r="F25" s="24" t="s">
        <v>291</v>
      </c>
      <c r="G25" s="47" t="n">
        <v>898.41</v>
      </c>
      <c r="H25" s="47" t="n">
        <v>29.2</v>
      </c>
      <c r="I25" s="24" t="s">
        <v>301</v>
      </c>
      <c r="J25" s="24" t="s">
        <v>302</v>
      </c>
      <c r="K25" s="25" t="s">
        <v>118</v>
      </c>
      <c r="L25" s="25" t="s">
        <v>222</v>
      </c>
      <c r="M25" s="25" t="s">
        <v>303</v>
      </c>
      <c r="N25" s="48" t="n">
        <v>0.15</v>
      </c>
      <c r="O25" s="25" t="s">
        <v>207</v>
      </c>
    </row>
    <row r="26" customFormat="false" ht="15" hidden="false" customHeight="false" outlineLevel="0" collapsed="false">
      <c r="A26" s="24" t="s">
        <v>304</v>
      </c>
      <c r="B26" s="25" t="s">
        <v>305</v>
      </c>
      <c r="C26" s="24" t="s">
        <v>141</v>
      </c>
      <c r="D26" s="24" t="s">
        <v>50</v>
      </c>
      <c r="E26" s="24" t="n">
        <v>250</v>
      </c>
      <c r="F26" s="24" t="s">
        <v>195</v>
      </c>
      <c r="G26" s="47" t="n">
        <v>1202.03</v>
      </c>
      <c r="H26" s="47" t="n">
        <v>58.73</v>
      </c>
      <c r="I26" s="24" t="s">
        <v>306</v>
      </c>
      <c r="J26" s="24" t="s">
        <v>307</v>
      </c>
      <c r="K26" s="25" t="s">
        <v>112</v>
      </c>
      <c r="L26" s="25" t="s">
        <v>308</v>
      </c>
      <c r="M26" s="25" t="s">
        <v>303</v>
      </c>
      <c r="N26" s="48" t="n">
        <v>0.07</v>
      </c>
      <c r="O26" s="25" t="s">
        <v>201</v>
      </c>
    </row>
    <row r="27" customFormat="false" ht="15" hidden="false" customHeight="false" outlineLevel="0" collapsed="false">
      <c r="A27" s="24" t="s">
        <v>309</v>
      </c>
      <c r="B27" s="25" t="s">
        <v>310</v>
      </c>
      <c r="C27" s="24" t="s">
        <v>26</v>
      </c>
      <c r="D27" s="24" t="s">
        <v>27</v>
      </c>
      <c r="E27" s="24" t="n">
        <v>100</v>
      </c>
      <c r="F27" s="24" t="s">
        <v>291</v>
      </c>
      <c r="G27" s="47" t="n">
        <v>422.87</v>
      </c>
      <c r="H27" s="47" t="n">
        <v>24.59</v>
      </c>
      <c r="I27" s="24" t="s">
        <v>311</v>
      </c>
      <c r="J27" s="24" t="s">
        <v>312</v>
      </c>
      <c r="K27" s="25" t="s">
        <v>68</v>
      </c>
      <c r="L27" s="25" t="s">
        <v>308</v>
      </c>
      <c r="M27" s="25" t="s">
        <v>313</v>
      </c>
      <c r="N27" s="48" t="n">
        <v>0.15</v>
      </c>
      <c r="O27" s="25" t="s">
        <v>247</v>
      </c>
    </row>
    <row r="28" customFormat="false" ht="15" hidden="false" customHeight="false" outlineLevel="0" collapsed="false">
      <c r="A28" s="14" t="s">
        <v>364</v>
      </c>
      <c r="B28" s="15" t="s">
        <v>365</v>
      </c>
      <c r="C28" s="14" t="s">
        <v>40</v>
      </c>
      <c r="D28" s="14" t="s">
        <v>27</v>
      </c>
      <c r="E28" s="14" t="n">
        <v>150</v>
      </c>
      <c r="F28" s="14" t="s">
        <v>195</v>
      </c>
      <c r="G28" s="45" t="n">
        <v>710.64</v>
      </c>
      <c r="H28" s="45" t="n">
        <v>213.32</v>
      </c>
      <c r="I28" s="14" t="s">
        <v>366</v>
      </c>
      <c r="J28" s="14" t="s">
        <v>367</v>
      </c>
      <c r="K28" s="15" t="s">
        <v>359</v>
      </c>
      <c r="L28" s="15" t="s">
        <v>235</v>
      </c>
      <c r="M28" s="15" t="s">
        <v>223</v>
      </c>
      <c r="N28" s="46" t="n">
        <v>0.64</v>
      </c>
      <c r="O28" s="15" t="s">
        <v>256</v>
      </c>
    </row>
    <row r="29" customFormat="false" ht="15" hidden="false" customHeight="false" outlineLevel="0" collapsed="false">
      <c r="A29" s="14" t="s">
        <v>368</v>
      </c>
      <c r="B29" s="15" t="s">
        <v>369</v>
      </c>
      <c r="C29" s="14" t="s">
        <v>104</v>
      </c>
      <c r="D29" s="14" t="s">
        <v>50</v>
      </c>
      <c r="E29" s="14" t="n">
        <v>150</v>
      </c>
      <c r="F29" s="14" t="s">
        <v>195</v>
      </c>
      <c r="G29" s="45" t="n">
        <v>783.05</v>
      </c>
      <c r="H29" s="45" t="n">
        <v>432.68</v>
      </c>
      <c r="I29" s="14" t="s">
        <v>370</v>
      </c>
      <c r="J29" s="14" t="s">
        <v>371</v>
      </c>
      <c r="K29" s="15" t="s">
        <v>339</v>
      </c>
      <c r="L29" s="15" t="s">
        <v>206</v>
      </c>
      <c r="M29" s="15" t="s">
        <v>223</v>
      </c>
      <c r="N29" s="46" t="n">
        <v>0.78</v>
      </c>
      <c r="O29" s="15" t="s">
        <v>373</v>
      </c>
    </row>
    <row r="30" customFormat="false" ht="15" hidden="false" customHeight="false" outlineLevel="0" collapsed="false">
      <c r="A30" s="14" t="s">
        <v>374</v>
      </c>
      <c r="B30" s="15" t="s">
        <v>375</v>
      </c>
      <c r="C30" s="14" t="s">
        <v>141</v>
      </c>
      <c r="D30" s="14" t="s">
        <v>50</v>
      </c>
      <c r="E30" s="14" t="n">
        <v>200</v>
      </c>
      <c r="F30" s="14" t="s">
        <v>195</v>
      </c>
      <c r="G30" s="45" t="n">
        <v>856.27</v>
      </c>
      <c r="H30" s="45" t="n">
        <v>384.45</v>
      </c>
      <c r="I30" s="14" t="s">
        <v>376</v>
      </c>
      <c r="J30" s="14" t="s">
        <v>205</v>
      </c>
      <c r="K30" s="15" t="s">
        <v>377</v>
      </c>
      <c r="L30" s="15" t="s">
        <v>235</v>
      </c>
      <c r="M30" s="15" t="s">
        <v>46</v>
      </c>
      <c r="N30" s="46" t="n">
        <v>0.83</v>
      </c>
      <c r="O30" s="15" t="s">
        <v>256</v>
      </c>
    </row>
    <row r="31" customFormat="false" ht="15" hidden="false" customHeight="false" outlineLevel="0" collapsed="false">
      <c r="A31" s="14" t="s">
        <v>378</v>
      </c>
      <c r="B31" s="15" t="s">
        <v>379</v>
      </c>
      <c r="C31" s="14" t="s">
        <v>77</v>
      </c>
      <c r="D31" s="14" t="s">
        <v>78</v>
      </c>
      <c r="E31" s="14" t="n">
        <v>150</v>
      </c>
      <c r="F31" s="14" t="s">
        <v>195</v>
      </c>
      <c r="G31" s="45" t="n">
        <v>818.96</v>
      </c>
      <c r="H31" s="45" t="n">
        <v>478.99</v>
      </c>
      <c r="I31" s="14" t="s">
        <v>280</v>
      </c>
      <c r="J31" s="14" t="s">
        <v>380</v>
      </c>
      <c r="K31" s="15" t="s">
        <v>381</v>
      </c>
      <c r="L31" s="15" t="s">
        <v>228</v>
      </c>
      <c r="M31" s="15" t="s">
        <v>223</v>
      </c>
      <c r="N31" s="46" t="n">
        <v>0.5</v>
      </c>
      <c r="O31" s="15" t="s">
        <v>230</v>
      </c>
    </row>
    <row r="32" customFormat="false" ht="15" hidden="false" customHeight="false" outlineLevel="0" collapsed="false">
      <c r="A32" s="14" t="s">
        <v>383</v>
      </c>
      <c r="B32" s="15" t="s">
        <v>384</v>
      </c>
      <c r="C32" s="14" t="s">
        <v>49</v>
      </c>
      <c r="D32" s="14" t="s">
        <v>50</v>
      </c>
      <c r="E32" s="14" t="n">
        <v>50</v>
      </c>
      <c r="F32" s="14" t="s">
        <v>219</v>
      </c>
      <c r="G32" s="45" t="n">
        <v>248.58</v>
      </c>
      <c r="H32" s="45" t="n">
        <v>83.2</v>
      </c>
      <c r="I32" s="14" t="s">
        <v>385</v>
      </c>
      <c r="J32" s="14" t="s">
        <v>386</v>
      </c>
      <c r="K32" s="15" t="s">
        <v>350</v>
      </c>
      <c r="L32" s="15" t="s">
        <v>222</v>
      </c>
      <c r="M32" s="15" t="s">
        <v>223</v>
      </c>
      <c r="N32" s="46" t="n">
        <v>0.57</v>
      </c>
      <c r="O32" s="15" t="s">
        <v>236</v>
      </c>
    </row>
    <row r="33" customFormat="false" ht="15" hidden="false" customHeight="false" outlineLevel="0" collapsed="false">
      <c r="A33" s="14" t="s">
        <v>387</v>
      </c>
      <c r="B33" s="15" t="s">
        <v>388</v>
      </c>
      <c r="C33" s="14" t="s">
        <v>131</v>
      </c>
      <c r="D33" s="14" t="s">
        <v>50</v>
      </c>
      <c r="E33" s="14" t="n">
        <v>100</v>
      </c>
      <c r="F33" s="14" t="s">
        <v>195</v>
      </c>
      <c r="G33" s="45" t="n">
        <v>489.91</v>
      </c>
      <c r="H33" s="45" t="n">
        <v>323.57</v>
      </c>
      <c r="I33" s="14" t="s">
        <v>389</v>
      </c>
      <c r="J33" s="14" t="s">
        <v>390</v>
      </c>
      <c r="K33" s="15" t="s">
        <v>350</v>
      </c>
      <c r="L33" s="15" t="s">
        <v>206</v>
      </c>
      <c r="M33" s="15" t="s">
        <v>223</v>
      </c>
      <c r="N33" s="46" t="n">
        <v>0.37</v>
      </c>
      <c r="O33" s="15" t="s">
        <v>207</v>
      </c>
    </row>
    <row r="34" customFormat="false" ht="15" hidden="false" customHeight="false" outlineLevel="0" collapsed="false">
      <c r="A34" s="14" t="s">
        <v>391</v>
      </c>
      <c r="B34" s="15" t="s">
        <v>392</v>
      </c>
      <c r="C34" s="14" t="s">
        <v>121</v>
      </c>
      <c r="D34" s="14" t="s">
        <v>27</v>
      </c>
      <c r="E34" s="14" t="n">
        <v>50</v>
      </c>
      <c r="F34" s="14" t="s">
        <v>195</v>
      </c>
      <c r="G34" s="45" t="n">
        <v>274.92</v>
      </c>
      <c r="H34" s="45" t="n">
        <v>142.77</v>
      </c>
      <c r="I34" s="14" t="s">
        <v>393</v>
      </c>
      <c r="J34" s="14" t="s">
        <v>394</v>
      </c>
      <c r="K34" s="15" t="s">
        <v>333</v>
      </c>
      <c r="L34" s="15" t="s">
        <v>235</v>
      </c>
      <c r="M34" s="15" t="s">
        <v>229</v>
      </c>
      <c r="N34" s="46" t="n">
        <v>0.39</v>
      </c>
      <c r="O34" s="15" t="s">
        <v>247</v>
      </c>
    </row>
    <row r="35" customFormat="false" ht="15" hidden="false" customHeight="false" outlineLevel="0" collapsed="false">
      <c r="A35" s="24" t="s">
        <v>395</v>
      </c>
      <c r="B35" s="25" t="s">
        <v>396</v>
      </c>
      <c r="C35" s="24" t="s">
        <v>109</v>
      </c>
      <c r="D35" s="24" t="s">
        <v>92</v>
      </c>
      <c r="E35" s="24" t="n">
        <v>250</v>
      </c>
      <c r="F35" s="24" t="s">
        <v>291</v>
      </c>
      <c r="G35" s="47" t="n">
        <v>1293.27</v>
      </c>
      <c r="H35" s="47" t="n">
        <v>30.88</v>
      </c>
      <c r="I35" s="24" t="s">
        <v>397</v>
      </c>
      <c r="J35" s="24" t="s">
        <v>398</v>
      </c>
      <c r="K35" s="25" t="s">
        <v>319</v>
      </c>
      <c r="L35" s="25" t="s">
        <v>222</v>
      </c>
      <c r="M35" s="25" t="s">
        <v>303</v>
      </c>
      <c r="N35" s="48" t="n">
        <v>0.12</v>
      </c>
      <c r="O35" s="25" t="s">
        <v>236</v>
      </c>
    </row>
    <row r="36" customFormat="false" ht="15" hidden="false" customHeight="false" outlineLevel="0" collapsed="false">
      <c r="A36" s="24" t="s">
        <v>399</v>
      </c>
      <c r="B36" s="25" t="s">
        <v>400</v>
      </c>
      <c r="C36" s="24" t="s">
        <v>136</v>
      </c>
      <c r="D36" s="24" t="s">
        <v>65</v>
      </c>
      <c r="E36" s="24" t="n">
        <v>300</v>
      </c>
      <c r="F36" s="24" t="s">
        <v>291</v>
      </c>
      <c r="G36" s="47" t="n">
        <v>1551.94</v>
      </c>
      <c r="H36" s="47" t="n">
        <v>76.87</v>
      </c>
      <c r="I36" s="24" t="s">
        <v>401</v>
      </c>
      <c r="J36" s="24" t="s">
        <v>402</v>
      </c>
      <c r="K36" s="25" t="s">
        <v>328</v>
      </c>
      <c r="L36" s="25" t="s">
        <v>222</v>
      </c>
      <c r="M36" s="25" t="s">
        <v>313</v>
      </c>
      <c r="N36" s="48" t="n">
        <v>0.01</v>
      </c>
      <c r="O36" s="25" t="s">
        <v>373</v>
      </c>
    </row>
    <row r="37" customFormat="false" ht="15" hidden="false" customHeight="false" outlineLevel="0" collapsed="false">
      <c r="A37" s="24" t="s">
        <v>403</v>
      </c>
      <c r="B37" s="25" t="s">
        <v>404</v>
      </c>
      <c r="C37" s="24" t="s">
        <v>57</v>
      </c>
      <c r="D37" s="24" t="s">
        <v>50</v>
      </c>
      <c r="E37" s="24" t="n">
        <v>200</v>
      </c>
      <c r="F37" s="24" t="s">
        <v>291</v>
      </c>
      <c r="G37" s="47" t="n">
        <v>874.79</v>
      </c>
      <c r="H37" s="47" t="n">
        <v>57.28</v>
      </c>
      <c r="I37" s="24" t="s">
        <v>405</v>
      </c>
      <c r="J37" s="24" t="s">
        <v>406</v>
      </c>
      <c r="K37" s="25" t="s">
        <v>339</v>
      </c>
      <c r="L37" s="25" t="s">
        <v>222</v>
      </c>
      <c r="M37" s="25" t="s">
        <v>303</v>
      </c>
      <c r="N37" s="48" t="n">
        <v>0.04</v>
      </c>
      <c r="O37" s="25" t="s">
        <v>230</v>
      </c>
    </row>
  </sheetData>
  <autoFilter ref="A2:O2"/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5" min="5" style="0" width="32"/>
    <col collapsed="false" customWidth="true" hidden="false" outlineLevel="0" max="6" min="6" style="0" width="28"/>
    <col collapsed="false" customWidth="true" hidden="false" outlineLevel="0" max="7" min="7" style="0" width="18"/>
    <col collapsed="false" customWidth="true" hidden="false" outlineLevel="0" max="8" min="8" style="0" width="30"/>
    <col collapsed="false" customWidth="true" hidden="false" outlineLevel="0" max="9" min="9" style="0" width="18"/>
    <col collapsed="false" customWidth="true" hidden="false" outlineLevel="0" max="10" min="10" style="0" width="13"/>
  </cols>
  <sheetData>
    <row r="1" customFormat="false" ht="27.75" hidden="false" customHeight="true" outlineLevel="0" collapsed="false">
      <c r="A1" s="44" t="s">
        <v>420</v>
      </c>
      <c r="B1" s="44"/>
      <c r="C1" s="44"/>
      <c r="D1" s="44"/>
      <c r="E1" s="44"/>
      <c r="F1" s="44"/>
      <c r="G1" s="44"/>
      <c r="H1" s="44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16</v>
      </c>
      <c r="E2" s="2" t="s">
        <v>17</v>
      </c>
      <c r="F2" s="2" t="s">
        <v>18</v>
      </c>
      <c r="G2" s="2" t="s">
        <v>9</v>
      </c>
      <c r="H2" s="2" t="s">
        <v>19</v>
      </c>
      <c r="I2" s="2" t="s">
        <v>20</v>
      </c>
      <c r="J2" s="2" t="s">
        <v>8</v>
      </c>
    </row>
    <row r="3" customFormat="false" ht="15" hidden="false" customHeight="false" outlineLevel="0" collapsed="false">
      <c r="A3" s="3" t="s">
        <v>23</v>
      </c>
      <c r="B3" s="4" t="s">
        <v>24</v>
      </c>
      <c r="C3" s="3" t="s">
        <v>25</v>
      </c>
      <c r="D3" s="4" t="s">
        <v>33</v>
      </c>
      <c r="E3" s="4" t="s">
        <v>34</v>
      </c>
      <c r="F3" s="4" t="s">
        <v>35</v>
      </c>
      <c r="G3" s="49" t="n">
        <v>983.75</v>
      </c>
      <c r="H3" s="4" t="s">
        <v>36</v>
      </c>
      <c r="I3" s="50" t="n">
        <v>1</v>
      </c>
      <c r="J3" s="3" t="s">
        <v>29</v>
      </c>
    </row>
    <row r="4" customFormat="false" ht="15" hidden="false" customHeight="false" outlineLevel="0" collapsed="false">
      <c r="A4" s="10" t="s">
        <v>38</v>
      </c>
      <c r="B4" s="11" t="s">
        <v>39</v>
      </c>
      <c r="C4" s="10" t="s">
        <v>25</v>
      </c>
      <c r="D4" s="11" t="s">
        <v>44</v>
      </c>
      <c r="E4" s="11" t="s">
        <v>45</v>
      </c>
      <c r="F4" s="11" t="s">
        <v>35</v>
      </c>
      <c r="G4" s="51" t="n">
        <v>1201.97</v>
      </c>
      <c r="H4" s="11" t="s">
        <v>46</v>
      </c>
      <c r="I4" s="52" t="n">
        <v>1</v>
      </c>
      <c r="J4" s="10" t="s">
        <v>29</v>
      </c>
    </row>
    <row r="5" customFormat="false" ht="15" hidden="false" customHeight="false" outlineLevel="0" collapsed="false">
      <c r="A5" s="3" t="s">
        <v>47</v>
      </c>
      <c r="B5" s="4" t="s">
        <v>48</v>
      </c>
      <c r="C5" s="3" t="s">
        <v>25</v>
      </c>
      <c r="D5" s="4" t="s">
        <v>44</v>
      </c>
      <c r="E5" s="4" t="s">
        <v>54</v>
      </c>
      <c r="F5" s="4" t="s">
        <v>35</v>
      </c>
      <c r="G5" s="49" t="n">
        <v>518.96</v>
      </c>
      <c r="H5" s="4" t="s">
        <v>36</v>
      </c>
      <c r="I5" s="50" t="n">
        <v>1</v>
      </c>
      <c r="J5" s="3" t="s">
        <v>29</v>
      </c>
    </row>
    <row r="6" customFormat="false" ht="15" hidden="false" customHeight="false" outlineLevel="0" collapsed="false">
      <c r="A6" s="10" t="s">
        <v>55</v>
      </c>
      <c r="B6" s="11" t="s">
        <v>56</v>
      </c>
      <c r="C6" s="10" t="s">
        <v>25</v>
      </c>
      <c r="D6" s="11" t="s">
        <v>60</v>
      </c>
      <c r="E6" s="11" t="s">
        <v>61</v>
      </c>
      <c r="F6" s="11" t="s">
        <v>35</v>
      </c>
      <c r="G6" s="51" t="n">
        <v>1231.36</v>
      </c>
      <c r="H6" s="11" t="s">
        <v>46</v>
      </c>
      <c r="I6" s="52" t="n">
        <v>1</v>
      </c>
      <c r="J6" s="10" t="s">
        <v>29</v>
      </c>
    </row>
    <row r="7" customFormat="false" ht="15" hidden="false" customHeight="false" outlineLevel="0" collapsed="false">
      <c r="A7" s="3" t="s">
        <v>62</v>
      </c>
      <c r="B7" s="4" t="s">
        <v>63</v>
      </c>
      <c r="C7" s="3" t="s">
        <v>25</v>
      </c>
      <c r="D7" s="4" t="s">
        <v>68</v>
      </c>
      <c r="E7" s="4" t="s">
        <v>69</v>
      </c>
      <c r="F7" s="4" t="s">
        <v>35</v>
      </c>
      <c r="G7" s="49" t="n">
        <v>493.96</v>
      </c>
      <c r="H7" s="4" t="s">
        <v>36</v>
      </c>
      <c r="I7" s="50" t="n">
        <v>1</v>
      </c>
      <c r="J7" s="3" t="s">
        <v>29</v>
      </c>
    </row>
    <row r="8" customFormat="false" ht="15" hidden="false" customHeight="false" outlineLevel="0" collapsed="false">
      <c r="A8" s="10" t="s">
        <v>70</v>
      </c>
      <c r="B8" s="11" t="s">
        <v>71</v>
      </c>
      <c r="C8" s="10" t="s">
        <v>25</v>
      </c>
      <c r="D8" s="11" t="s">
        <v>60</v>
      </c>
      <c r="E8" s="11" t="s">
        <v>45</v>
      </c>
      <c r="F8" s="11" t="s">
        <v>35</v>
      </c>
      <c r="G8" s="51" t="n">
        <v>907.51</v>
      </c>
      <c r="H8" s="11" t="s">
        <v>46</v>
      </c>
      <c r="I8" s="52" t="n">
        <v>1</v>
      </c>
      <c r="J8" s="10" t="s">
        <v>29</v>
      </c>
    </row>
    <row r="9" customFormat="false" ht="15" hidden="false" customHeight="false" outlineLevel="0" collapsed="false">
      <c r="A9" s="3" t="s">
        <v>75</v>
      </c>
      <c r="B9" s="4" t="s">
        <v>76</v>
      </c>
      <c r="C9" s="3" t="s">
        <v>25</v>
      </c>
      <c r="D9" s="4" t="s">
        <v>81</v>
      </c>
      <c r="E9" s="4" t="s">
        <v>82</v>
      </c>
      <c r="F9" s="4" t="s">
        <v>35</v>
      </c>
      <c r="G9" s="49" t="n">
        <v>1769.36</v>
      </c>
      <c r="H9" s="4" t="s">
        <v>46</v>
      </c>
      <c r="I9" s="50" t="n">
        <v>1</v>
      </c>
      <c r="J9" s="3" t="s">
        <v>29</v>
      </c>
    </row>
    <row r="10" customFormat="false" ht="15" hidden="false" customHeight="false" outlineLevel="0" collapsed="false">
      <c r="A10" s="10" t="s">
        <v>83</v>
      </c>
      <c r="B10" s="11" t="s">
        <v>84</v>
      </c>
      <c r="C10" s="10" t="s">
        <v>25</v>
      </c>
      <c r="D10" s="11" t="s">
        <v>33</v>
      </c>
      <c r="E10" s="11" t="s">
        <v>88</v>
      </c>
      <c r="F10" s="11" t="s">
        <v>35</v>
      </c>
      <c r="G10" s="51" t="n">
        <v>1303.64</v>
      </c>
      <c r="H10" s="11" t="s">
        <v>36</v>
      </c>
      <c r="I10" s="52" t="n">
        <v>1</v>
      </c>
      <c r="J10" s="10" t="s">
        <v>29</v>
      </c>
    </row>
    <row r="11" customFormat="false" ht="15" hidden="false" customHeight="false" outlineLevel="0" collapsed="false">
      <c r="A11" s="3" t="s">
        <v>89</v>
      </c>
      <c r="B11" s="4" t="s">
        <v>90</v>
      </c>
      <c r="C11" s="3" t="s">
        <v>25</v>
      </c>
      <c r="D11" s="4" t="s">
        <v>95</v>
      </c>
      <c r="E11" s="4" t="s">
        <v>61</v>
      </c>
      <c r="F11" s="4" t="s">
        <v>35</v>
      </c>
      <c r="G11" s="49" t="n">
        <v>460.23</v>
      </c>
      <c r="H11" s="4" t="s">
        <v>36</v>
      </c>
      <c r="I11" s="50" t="n">
        <v>1</v>
      </c>
      <c r="J11" s="3" t="s">
        <v>29</v>
      </c>
    </row>
    <row r="12" customFormat="false" ht="15" hidden="false" customHeight="false" outlineLevel="0" collapsed="false">
      <c r="A12" s="10" t="s">
        <v>96</v>
      </c>
      <c r="B12" s="11" t="s">
        <v>97</v>
      </c>
      <c r="C12" s="10" t="s">
        <v>25</v>
      </c>
      <c r="D12" s="11" t="s">
        <v>95</v>
      </c>
      <c r="E12" s="11" t="s">
        <v>101</v>
      </c>
      <c r="F12" s="11" t="s">
        <v>35</v>
      </c>
      <c r="G12" s="51" t="n">
        <v>1261.56</v>
      </c>
      <c r="H12" s="11" t="s">
        <v>36</v>
      </c>
      <c r="I12" s="52" t="n">
        <v>1</v>
      </c>
      <c r="J12" s="10" t="s">
        <v>29</v>
      </c>
    </row>
    <row r="13" customFormat="false" ht="15" hidden="false" customHeight="false" outlineLevel="0" collapsed="false">
      <c r="A13" s="3" t="s">
        <v>102</v>
      </c>
      <c r="B13" s="4" t="s">
        <v>103</v>
      </c>
      <c r="C13" s="3" t="s">
        <v>25</v>
      </c>
      <c r="D13" s="4" t="s">
        <v>81</v>
      </c>
      <c r="E13" s="4" t="s">
        <v>34</v>
      </c>
      <c r="F13" s="4" t="s">
        <v>35</v>
      </c>
      <c r="G13" s="49" t="n">
        <v>1199.57</v>
      </c>
      <c r="H13" s="4" t="s">
        <v>36</v>
      </c>
      <c r="I13" s="50" t="n">
        <v>1</v>
      </c>
      <c r="J13" s="3" t="s">
        <v>29</v>
      </c>
    </row>
    <row r="14" customFormat="false" ht="15" hidden="false" customHeight="false" outlineLevel="0" collapsed="false">
      <c r="A14" s="10" t="s">
        <v>107</v>
      </c>
      <c r="B14" s="11" t="s">
        <v>108</v>
      </c>
      <c r="C14" s="10" t="s">
        <v>25</v>
      </c>
      <c r="D14" s="11" t="s">
        <v>112</v>
      </c>
      <c r="E14" s="11" t="s">
        <v>101</v>
      </c>
      <c r="F14" s="11" t="s">
        <v>35</v>
      </c>
      <c r="G14" s="51" t="n">
        <v>2146.34</v>
      </c>
      <c r="H14" s="11" t="s">
        <v>36</v>
      </c>
      <c r="I14" s="52" t="n">
        <v>1</v>
      </c>
      <c r="J14" s="10" t="s">
        <v>29</v>
      </c>
    </row>
    <row r="15" customFormat="false" ht="15" hidden="false" customHeight="false" outlineLevel="0" collapsed="false">
      <c r="A15" s="3" t="s">
        <v>113</v>
      </c>
      <c r="B15" s="4" t="s">
        <v>114</v>
      </c>
      <c r="C15" s="3" t="s">
        <v>25</v>
      </c>
      <c r="D15" s="4" t="s">
        <v>118</v>
      </c>
      <c r="E15" s="4" t="s">
        <v>82</v>
      </c>
      <c r="F15" s="4" t="s">
        <v>35</v>
      </c>
      <c r="G15" s="49" t="n">
        <v>756.64</v>
      </c>
      <c r="H15" s="4" t="s">
        <v>36</v>
      </c>
      <c r="I15" s="50" t="n">
        <v>1</v>
      </c>
      <c r="J15" s="3" t="s">
        <v>29</v>
      </c>
    </row>
    <row r="16" customFormat="false" ht="15" hidden="false" customHeight="false" outlineLevel="0" collapsed="false">
      <c r="A16" s="10" t="s">
        <v>119</v>
      </c>
      <c r="B16" s="11" t="s">
        <v>120</v>
      </c>
      <c r="C16" s="10" t="s">
        <v>25</v>
      </c>
      <c r="D16" s="11" t="s">
        <v>81</v>
      </c>
      <c r="E16" s="11" t="s">
        <v>54</v>
      </c>
      <c r="F16" s="11" t="s">
        <v>35</v>
      </c>
      <c r="G16" s="51" t="n">
        <v>1367.85</v>
      </c>
      <c r="H16" s="11" t="s">
        <v>36</v>
      </c>
      <c r="I16" s="52" t="n">
        <v>1</v>
      </c>
      <c r="J16" s="10" t="s">
        <v>29</v>
      </c>
    </row>
    <row r="17" customFormat="false" ht="15" hidden="false" customHeight="false" outlineLevel="0" collapsed="false">
      <c r="A17" s="3" t="s">
        <v>124</v>
      </c>
      <c r="B17" s="4" t="s">
        <v>125</v>
      </c>
      <c r="C17" s="3" t="s">
        <v>25</v>
      </c>
      <c r="D17" s="4" t="s">
        <v>118</v>
      </c>
      <c r="E17" s="4" t="s">
        <v>45</v>
      </c>
      <c r="F17" s="4" t="s">
        <v>35</v>
      </c>
      <c r="G17" s="49" t="n">
        <v>215.39</v>
      </c>
      <c r="H17" s="4" t="s">
        <v>36</v>
      </c>
      <c r="I17" s="50" t="n">
        <v>1</v>
      </c>
      <c r="J17" s="3" t="s">
        <v>29</v>
      </c>
    </row>
    <row r="18" customFormat="false" ht="15" hidden="false" customHeight="false" outlineLevel="0" collapsed="false">
      <c r="A18" s="10" t="s">
        <v>129</v>
      </c>
      <c r="B18" s="11" t="s">
        <v>130</v>
      </c>
      <c r="C18" s="10" t="s">
        <v>25</v>
      </c>
      <c r="D18" s="11" t="s">
        <v>33</v>
      </c>
      <c r="E18" s="11" t="s">
        <v>34</v>
      </c>
      <c r="F18" s="11" t="s">
        <v>35</v>
      </c>
      <c r="G18" s="51" t="n">
        <v>1091.08</v>
      </c>
      <c r="H18" s="11" t="s">
        <v>36</v>
      </c>
      <c r="I18" s="52" t="n">
        <v>1</v>
      </c>
      <c r="J18" s="10" t="s">
        <v>29</v>
      </c>
    </row>
    <row r="19" customFormat="false" ht="15" hidden="false" customHeight="false" outlineLevel="0" collapsed="false">
      <c r="A19" s="3" t="s">
        <v>134</v>
      </c>
      <c r="B19" s="4" t="s">
        <v>135</v>
      </c>
      <c r="C19" s="3" t="s">
        <v>25</v>
      </c>
      <c r="D19" s="4" t="s">
        <v>60</v>
      </c>
      <c r="E19" s="4" t="s">
        <v>54</v>
      </c>
      <c r="F19" s="4" t="s">
        <v>35</v>
      </c>
      <c r="G19" s="49" t="n">
        <v>1937.68</v>
      </c>
      <c r="H19" s="4" t="s">
        <v>36</v>
      </c>
      <c r="I19" s="50" t="n">
        <v>1</v>
      </c>
      <c r="J19" s="3" t="s">
        <v>29</v>
      </c>
    </row>
    <row r="20" customFormat="false" ht="15" hidden="false" customHeight="false" outlineLevel="0" collapsed="false">
      <c r="A20" s="10" t="s">
        <v>139</v>
      </c>
      <c r="B20" s="11" t="s">
        <v>140</v>
      </c>
      <c r="C20" s="10" t="s">
        <v>25</v>
      </c>
      <c r="D20" s="11" t="s">
        <v>44</v>
      </c>
      <c r="E20" s="11" t="s">
        <v>144</v>
      </c>
      <c r="F20" s="11" t="s">
        <v>35</v>
      </c>
      <c r="G20" s="51" t="n">
        <v>2299.85</v>
      </c>
      <c r="H20" s="11" t="s">
        <v>36</v>
      </c>
      <c r="I20" s="52" t="n">
        <v>1</v>
      </c>
      <c r="J20" s="10" t="s">
        <v>29</v>
      </c>
    </row>
    <row r="21" customFormat="false" ht="15" hidden="false" customHeight="false" outlineLevel="0" collapsed="false">
      <c r="A21" s="3" t="s">
        <v>145</v>
      </c>
      <c r="B21" s="4" t="s">
        <v>146</v>
      </c>
      <c r="C21" s="3" t="s">
        <v>25</v>
      </c>
      <c r="D21" s="4" t="s">
        <v>33</v>
      </c>
      <c r="E21" s="4" t="s">
        <v>69</v>
      </c>
      <c r="F21" s="4" t="s">
        <v>35</v>
      </c>
      <c r="G21" s="49" t="n">
        <v>248.51</v>
      </c>
      <c r="H21" s="4" t="s">
        <v>36</v>
      </c>
      <c r="I21" s="50" t="n">
        <v>1</v>
      </c>
      <c r="J21" s="3" t="s">
        <v>29</v>
      </c>
    </row>
    <row r="22" customFormat="false" ht="15" hidden="false" customHeight="false" outlineLevel="0" collapsed="false">
      <c r="A22" s="10" t="s">
        <v>149</v>
      </c>
      <c r="B22" s="11" t="s">
        <v>150</v>
      </c>
      <c r="C22" s="10" t="s">
        <v>25</v>
      </c>
      <c r="D22" s="11" t="s">
        <v>153</v>
      </c>
      <c r="E22" s="11" t="s">
        <v>54</v>
      </c>
      <c r="F22" s="11" t="s">
        <v>35</v>
      </c>
      <c r="G22" s="51" t="n">
        <v>2125.82</v>
      </c>
      <c r="H22" s="11" t="s">
        <v>46</v>
      </c>
      <c r="I22" s="52" t="n">
        <v>1</v>
      </c>
      <c r="J22" s="10" t="s">
        <v>29</v>
      </c>
    </row>
    <row r="23" customFormat="false" ht="15" hidden="false" customHeight="false" outlineLevel="0" collapsed="false">
      <c r="A23" s="3" t="s">
        <v>154</v>
      </c>
      <c r="B23" s="4" t="s">
        <v>155</v>
      </c>
      <c r="C23" s="3" t="s">
        <v>25</v>
      </c>
      <c r="D23" s="4" t="s">
        <v>44</v>
      </c>
      <c r="E23" s="4" t="s">
        <v>144</v>
      </c>
      <c r="F23" s="4" t="s">
        <v>35</v>
      </c>
      <c r="G23" s="49" t="n">
        <v>1072.87</v>
      </c>
      <c r="H23" s="4" t="s">
        <v>36</v>
      </c>
      <c r="I23" s="50" t="n">
        <v>1</v>
      </c>
      <c r="J23" s="3" t="s">
        <v>29</v>
      </c>
    </row>
    <row r="24" customFormat="false" ht="15" hidden="false" customHeight="false" outlineLevel="0" collapsed="false">
      <c r="A24" s="10" t="s">
        <v>158</v>
      </c>
      <c r="B24" s="11" t="s">
        <v>159</v>
      </c>
      <c r="C24" s="10" t="s">
        <v>25</v>
      </c>
      <c r="D24" s="11" t="s">
        <v>81</v>
      </c>
      <c r="E24" s="11" t="s">
        <v>88</v>
      </c>
      <c r="F24" s="11" t="s">
        <v>35</v>
      </c>
      <c r="G24" s="51" t="n">
        <v>557.89</v>
      </c>
      <c r="H24" s="11" t="s">
        <v>36</v>
      </c>
      <c r="I24" s="52" t="n">
        <v>1</v>
      </c>
      <c r="J24" s="10" t="s">
        <v>29</v>
      </c>
    </row>
    <row r="25" customFormat="false" ht="15" hidden="false" customHeight="false" outlineLevel="0" collapsed="false">
      <c r="A25" s="3" t="s">
        <v>162</v>
      </c>
      <c r="B25" s="4" t="s">
        <v>163</v>
      </c>
      <c r="C25" s="3" t="s">
        <v>25</v>
      </c>
      <c r="D25" s="4" t="s">
        <v>118</v>
      </c>
      <c r="E25" s="4" t="s">
        <v>82</v>
      </c>
      <c r="F25" s="4" t="s">
        <v>35</v>
      </c>
      <c r="G25" s="49" t="n">
        <v>284.78</v>
      </c>
      <c r="H25" s="4" t="s">
        <v>36</v>
      </c>
      <c r="I25" s="50" t="n">
        <v>1</v>
      </c>
      <c r="J25" s="3" t="s">
        <v>29</v>
      </c>
    </row>
    <row r="26" customFormat="false" ht="15" hidden="false" customHeight="false" outlineLevel="0" collapsed="false">
      <c r="A26" s="10" t="s">
        <v>166</v>
      </c>
      <c r="B26" s="11" t="s">
        <v>167</v>
      </c>
      <c r="C26" s="10" t="s">
        <v>25</v>
      </c>
      <c r="D26" s="11" t="s">
        <v>170</v>
      </c>
      <c r="E26" s="11" t="s">
        <v>144</v>
      </c>
      <c r="F26" s="11" t="s">
        <v>35</v>
      </c>
      <c r="G26" s="51" t="n">
        <v>632.24</v>
      </c>
      <c r="H26" s="11" t="s">
        <v>36</v>
      </c>
      <c r="I26" s="52" t="n">
        <v>1</v>
      </c>
      <c r="J26" s="10" t="s">
        <v>29</v>
      </c>
    </row>
    <row r="27" customFormat="false" ht="15" hidden="false" customHeight="false" outlineLevel="0" collapsed="false">
      <c r="A27" s="3" t="s">
        <v>171</v>
      </c>
      <c r="B27" s="4" t="s">
        <v>172</v>
      </c>
      <c r="C27" s="3" t="s">
        <v>25</v>
      </c>
      <c r="D27" s="4" t="s">
        <v>81</v>
      </c>
      <c r="E27" s="4" t="s">
        <v>144</v>
      </c>
      <c r="F27" s="4" t="s">
        <v>35</v>
      </c>
      <c r="G27" s="49" t="n">
        <v>958.25</v>
      </c>
      <c r="H27" s="4" t="s">
        <v>46</v>
      </c>
      <c r="I27" s="50" t="n">
        <v>1</v>
      </c>
      <c r="J27" s="3" t="s">
        <v>29</v>
      </c>
    </row>
    <row r="28" customFormat="false" ht="15" hidden="false" customHeight="false" outlineLevel="0" collapsed="false">
      <c r="A28" s="10" t="s">
        <v>175</v>
      </c>
      <c r="B28" s="11" t="s">
        <v>176</v>
      </c>
      <c r="C28" s="10" t="s">
        <v>25</v>
      </c>
      <c r="D28" s="11" t="s">
        <v>118</v>
      </c>
      <c r="E28" s="11" t="s">
        <v>61</v>
      </c>
      <c r="F28" s="11" t="s">
        <v>35</v>
      </c>
      <c r="G28" s="51" t="n">
        <v>231.16</v>
      </c>
      <c r="H28" s="11" t="s">
        <v>36</v>
      </c>
      <c r="I28" s="52" t="n">
        <v>1</v>
      </c>
      <c r="J28" s="10" t="s">
        <v>29</v>
      </c>
    </row>
    <row r="29" customFormat="false" ht="15" hidden="false" customHeight="false" outlineLevel="0" collapsed="false">
      <c r="A29" s="3" t="s">
        <v>179</v>
      </c>
      <c r="B29" s="4" t="s">
        <v>180</v>
      </c>
      <c r="C29" s="3" t="s">
        <v>25</v>
      </c>
      <c r="D29" s="4" t="s">
        <v>33</v>
      </c>
      <c r="E29" s="4" t="s">
        <v>61</v>
      </c>
      <c r="F29" s="4" t="s">
        <v>35</v>
      </c>
      <c r="G29" s="49" t="n">
        <v>996.33</v>
      </c>
      <c r="H29" s="4" t="s">
        <v>36</v>
      </c>
      <c r="I29" s="50" t="n">
        <v>1</v>
      </c>
      <c r="J29" s="3" t="s">
        <v>29</v>
      </c>
    </row>
    <row r="30" customFormat="false" ht="15" hidden="false" customHeight="false" outlineLevel="0" collapsed="false">
      <c r="A30" s="10" t="s">
        <v>182</v>
      </c>
      <c r="B30" s="11" t="s">
        <v>183</v>
      </c>
      <c r="C30" s="10" t="s">
        <v>25</v>
      </c>
      <c r="D30" s="11" t="s">
        <v>170</v>
      </c>
      <c r="E30" s="11" t="s">
        <v>101</v>
      </c>
      <c r="F30" s="11" t="s">
        <v>35</v>
      </c>
      <c r="G30" s="51" t="n">
        <v>269.3</v>
      </c>
      <c r="H30" s="11" t="s">
        <v>36</v>
      </c>
      <c r="I30" s="52" t="n">
        <v>1</v>
      </c>
      <c r="J30" s="10" t="s">
        <v>29</v>
      </c>
    </row>
    <row r="31" customFormat="false" ht="15" hidden="false" customHeight="false" outlineLevel="0" collapsed="false">
      <c r="A31" s="3" t="s">
        <v>186</v>
      </c>
      <c r="B31" s="4" t="s">
        <v>187</v>
      </c>
      <c r="C31" s="3" t="s">
        <v>25</v>
      </c>
      <c r="D31" s="4" t="s">
        <v>68</v>
      </c>
      <c r="E31" s="4" t="s">
        <v>54</v>
      </c>
      <c r="F31" s="4" t="s">
        <v>35</v>
      </c>
      <c r="G31" s="49" t="n">
        <v>660.59</v>
      </c>
      <c r="H31" s="4" t="s">
        <v>36</v>
      </c>
      <c r="I31" s="50" t="n">
        <v>1</v>
      </c>
      <c r="J31" s="3" t="s">
        <v>29</v>
      </c>
    </row>
    <row r="32" customFormat="false" ht="15" hidden="false" customHeight="false" outlineLevel="0" collapsed="false">
      <c r="A32" s="10" t="s">
        <v>190</v>
      </c>
      <c r="B32" s="11" t="s">
        <v>191</v>
      </c>
      <c r="C32" s="10" t="s">
        <v>25</v>
      </c>
      <c r="D32" s="11" t="s">
        <v>153</v>
      </c>
      <c r="E32" s="11" t="s">
        <v>82</v>
      </c>
      <c r="F32" s="11" t="s">
        <v>35</v>
      </c>
      <c r="G32" s="51" t="n">
        <v>1079.83</v>
      </c>
      <c r="H32" s="11" t="s">
        <v>36</v>
      </c>
      <c r="I32" s="52" t="n">
        <v>1</v>
      </c>
      <c r="J32" s="10" t="s">
        <v>29</v>
      </c>
    </row>
    <row r="33" customFormat="false" ht="15" hidden="false" customHeight="false" outlineLevel="0" collapsed="false">
      <c r="A33" s="14" t="s">
        <v>193</v>
      </c>
      <c r="B33" s="15" t="s">
        <v>194</v>
      </c>
      <c r="C33" s="14" t="s">
        <v>25</v>
      </c>
      <c r="D33" s="15" t="s">
        <v>170</v>
      </c>
      <c r="E33" s="15" t="s">
        <v>82</v>
      </c>
      <c r="F33" s="15" t="s">
        <v>199</v>
      </c>
      <c r="G33" s="45" t="n">
        <v>250.24</v>
      </c>
      <c r="H33" s="15" t="s">
        <v>200</v>
      </c>
      <c r="I33" s="46" t="n">
        <v>0.51</v>
      </c>
      <c r="J33" s="14" t="s">
        <v>196</v>
      </c>
    </row>
    <row r="34" customFormat="false" ht="15" hidden="false" customHeight="false" outlineLevel="0" collapsed="false">
      <c r="A34" s="19" t="s">
        <v>202</v>
      </c>
      <c r="B34" s="20" t="s">
        <v>203</v>
      </c>
      <c r="C34" s="19" t="s">
        <v>25</v>
      </c>
      <c r="D34" s="20" t="s">
        <v>33</v>
      </c>
      <c r="E34" s="20" t="s">
        <v>34</v>
      </c>
      <c r="F34" s="20" t="s">
        <v>206</v>
      </c>
      <c r="G34" s="53" t="n">
        <v>2615.4</v>
      </c>
      <c r="H34" s="20" t="s">
        <v>200</v>
      </c>
      <c r="I34" s="54" t="n">
        <v>0.48</v>
      </c>
      <c r="J34" s="19" t="s">
        <v>196</v>
      </c>
    </row>
    <row r="35" customFormat="false" ht="15" hidden="false" customHeight="false" outlineLevel="0" collapsed="false">
      <c r="A35" s="14" t="s">
        <v>208</v>
      </c>
      <c r="B35" s="15" t="s">
        <v>209</v>
      </c>
      <c r="C35" s="14" t="s">
        <v>25</v>
      </c>
      <c r="D35" s="15" t="s">
        <v>118</v>
      </c>
      <c r="E35" s="15" t="s">
        <v>211</v>
      </c>
      <c r="F35" s="15" t="s">
        <v>206</v>
      </c>
      <c r="G35" s="45" t="n">
        <v>459.95</v>
      </c>
      <c r="H35" s="15" t="s">
        <v>46</v>
      </c>
      <c r="I35" s="46" t="n">
        <v>0.62</v>
      </c>
      <c r="J35" s="14" t="s">
        <v>196</v>
      </c>
    </row>
    <row r="36" customFormat="false" ht="15" hidden="false" customHeight="false" outlineLevel="0" collapsed="false">
      <c r="A36" s="19" t="s">
        <v>212</v>
      </c>
      <c r="B36" s="20" t="s">
        <v>213</v>
      </c>
      <c r="C36" s="19" t="s">
        <v>25</v>
      </c>
      <c r="D36" s="20" t="s">
        <v>81</v>
      </c>
      <c r="E36" s="20" t="s">
        <v>54</v>
      </c>
      <c r="F36" s="20" t="s">
        <v>206</v>
      </c>
      <c r="G36" s="53" t="n">
        <v>258.98</v>
      </c>
      <c r="H36" s="20" t="s">
        <v>216</v>
      </c>
      <c r="I36" s="54" t="n">
        <v>0.85</v>
      </c>
      <c r="J36" s="19" t="s">
        <v>196</v>
      </c>
    </row>
    <row r="37" customFormat="false" ht="15" hidden="false" customHeight="false" outlineLevel="0" collapsed="false">
      <c r="A37" s="14" t="s">
        <v>217</v>
      </c>
      <c r="B37" s="15" t="s">
        <v>218</v>
      </c>
      <c r="C37" s="14" t="s">
        <v>25</v>
      </c>
      <c r="D37" s="15" t="s">
        <v>170</v>
      </c>
      <c r="E37" s="15" t="s">
        <v>61</v>
      </c>
      <c r="F37" s="15" t="s">
        <v>222</v>
      </c>
      <c r="G37" s="45" t="n">
        <v>205.25</v>
      </c>
      <c r="H37" s="15" t="s">
        <v>223</v>
      </c>
      <c r="I37" s="46" t="n">
        <v>0.62</v>
      </c>
      <c r="J37" s="14" t="s">
        <v>196</v>
      </c>
    </row>
    <row r="38" customFormat="false" ht="15" hidden="false" customHeight="false" outlineLevel="0" collapsed="false">
      <c r="A38" s="19" t="s">
        <v>224</v>
      </c>
      <c r="B38" s="20" t="s">
        <v>225</v>
      </c>
      <c r="C38" s="19" t="s">
        <v>25</v>
      </c>
      <c r="D38" s="20" t="s">
        <v>81</v>
      </c>
      <c r="E38" s="20" t="s">
        <v>61</v>
      </c>
      <c r="F38" s="20" t="s">
        <v>228</v>
      </c>
      <c r="G38" s="53" t="n">
        <v>1715.1</v>
      </c>
      <c r="H38" s="20" t="s">
        <v>229</v>
      </c>
      <c r="I38" s="54" t="n">
        <v>0.68</v>
      </c>
      <c r="J38" s="19" t="s">
        <v>196</v>
      </c>
    </row>
    <row r="39" customFormat="false" ht="15" hidden="false" customHeight="false" outlineLevel="0" collapsed="false">
      <c r="A39" s="14" t="s">
        <v>231</v>
      </c>
      <c r="B39" s="15" t="s">
        <v>232</v>
      </c>
      <c r="C39" s="14" t="s">
        <v>25</v>
      </c>
      <c r="D39" s="15" t="s">
        <v>60</v>
      </c>
      <c r="E39" s="15" t="s">
        <v>144</v>
      </c>
      <c r="F39" s="15" t="s">
        <v>235</v>
      </c>
      <c r="G39" s="45" t="n">
        <v>243.5</v>
      </c>
      <c r="H39" s="15" t="s">
        <v>216</v>
      </c>
      <c r="I39" s="46" t="n">
        <v>0.79</v>
      </c>
      <c r="J39" s="14" t="s">
        <v>196</v>
      </c>
    </row>
    <row r="40" customFormat="false" ht="15" hidden="false" customHeight="false" outlineLevel="0" collapsed="false">
      <c r="A40" s="19" t="s">
        <v>237</v>
      </c>
      <c r="B40" s="20" t="s">
        <v>238</v>
      </c>
      <c r="C40" s="19" t="s">
        <v>25</v>
      </c>
      <c r="D40" s="20" t="s">
        <v>153</v>
      </c>
      <c r="E40" s="20" t="s">
        <v>69</v>
      </c>
      <c r="F40" s="20" t="s">
        <v>228</v>
      </c>
      <c r="G40" s="53" t="n">
        <v>814.2</v>
      </c>
      <c r="H40" s="20" t="s">
        <v>200</v>
      </c>
      <c r="I40" s="54" t="n">
        <v>0.59</v>
      </c>
      <c r="J40" s="19" t="s">
        <v>196</v>
      </c>
    </row>
    <row r="41" customFormat="false" ht="15" hidden="false" customHeight="false" outlineLevel="0" collapsed="false">
      <c r="A41" s="14" t="s">
        <v>241</v>
      </c>
      <c r="B41" s="15" t="s">
        <v>242</v>
      </c>
      <c r="C41" s="14" t="s">
        <v>25</v>
      </c>
      <c r="D41" s="15" t="s">
        <v>60</v>
      </c>
      <c r="E41" s="15" t="s">
        <v>211</v>
      </c>
      <c r="F41" s="15" t="s">
        <v>235</v>
      </c>
      <c r="G41" s="45" t="n">
        <v>1065.84</v>
      </c>
      <c r="H41" s="15" t="s">
        <v>216</v>
      </c>
      <c r="I41" s="46" t="n">
        <v>0.69</v>
      </c>
      <c r="J41" s="14" t="s">
        <v>196</v>
      </c>
    </row>
    <row r="42" customFormat="false" ht="15" hidden="false" customHeight="false" outlineLevel="0" collapsed="false">
      <c r="A42" s="19" t="s">
        <v>244</v>
      </c>
      <c r="B42" s="20" t="s">
        <v>159</v>
      </c>
      <c r="C42" s="19" t="s">
        <v>25</v>
      </c>
      <c r="D42" s="20" t="s">
        <v>112</v>
      </c>
      <c r="E42" s="20" t="s">
        <v>144</v>
      </c>
      <c r="F42" s="20" t="s">
        <v>235</v>
      </c>
      <c r="G42" s="53" t="n">
        <v>469.68</v>
      </c>
      <c r="H42" s="20" t="s">
        <v>200</v>
      </c>
      <c r="I42" s="54" t="n">
        <v>0.35</v>
      </c>
      <c r="J42" s="19" t="s">
        <v>196</v>
      </c>
    </row>
    <row r="43" customFormat="false" ht="15" hidden="false" customHeight="false" outlineLevel="0" collapsed="false">
      <c r="A43" s="14" t="s">
        <v>248</v>
      </c>
      <c r="B43" s="15" t="s">
        <v>249</v>
      </c>
      <c r="C43" s="14" t="s">
        <v>25</v>
      </c>
      <c r="D43" s="15" t="s">
        <v>60</v>
      </c>
      <c r="E43" s="15" t="s">
        <v>61</v>
      </c>
      <c r="F43" s="15" t="s">
        <v>235</v>
      </c>
      <c r="G43" s="45" t="n">
        <v>2672.91</v>
      </c>
      <c r="H43" s="15" t="s">
        <v>223</v>
      </c>
      <c r="I43" s="46" t="n">
        <v>0.8</v>
      </c>
      <c r="J43" s="14" t="s">
        <v>196</v>
      </c>
    </row>
    <row r="44" customFormat="false" ht="15" hidden="false" customHeight="false" outlineLevel="0" collapsed="false">
      <c r="A44" s="19" t="s">
        <v>252</v>
      </c>
      <c r="B44" s="20" t="s">
        <v>253</v>
      </c>
      <c r="C44" s="19" t="s">
        <v>25</v>
      </c>
      <c r="D44" s="20" t="s">
        <v>60</v>
      </c>
      <c r="E44" s="20" t="s">
        <v>82</v>
      </c>
      <c r="F44" s="20" t="s">
        <v>228</v>
      </c>
      <c r="G44" s="53" t="n">
        <v>881.51</v>
      </c>
      <c r="H44" s="20" t="s">
        <v>200</v>
      </c>
      <c r="I44" s="54" t="n">
        <v>0.3</v>
      </c>
      <c r="J44" s="19" t="s">
        <v>196</v>
      </c>
    </row>
    <row r="45" customFormat="false" ht="15" hidden="false" customHeight="false" outlineLevel="0" collapsed="false">
      <c r="A45" s="14" t="s">
        <v>257</v>
      </c>
      <c r="B45" s="15" t="s">
        <v>258</v>
      </c>
      <c r="C45" s="14" t="s">
        <v>25</v>
      </c>
      <c r="D45" s="15" t="s">
        <v>44</v>
      </c>
      <c r="E45" s="15" t="s">
        <v>88</v>
      </c>
      <c r="F45" s="15" t="s">
        <v>235</v>
      </c>
      <c r="G45" s="45" t="n">
        <v>939.78</v>
      </c>
      <c r="H45" s="15" t="s">
        <v>229</v>
      </c>
      <c r="I45" s="46" t="n">
        <v>0.73</v>
      </c>
      <c r="J45" s="14" t="s">
        <v>196</v>
      </c>
    </row>
    <row r="46" customFormat="false" ht="15" hidden="false" customHeight="false" outlineLevel="0" collapsed="false">
      <c r="A46" s="19" t="s">
        <v>261</v>
      </c>
      <c r="B46" s="20" t="s">
        <v>262</v>
      </c>
      <c r="C46" s="19" t="s">
        <v>25</v>
      </c>
      <c r="D46" s="20" t="s">
        <v>81</v>
      </c>
      <c r="E46" s="20" t="s">
        <v>54</v>
      </c>
      <c r="F46" s="20" t="s">
        <v>222</v>
      </c>
      <c r="G46" s="53" t="n">
        <v>2292.49</v>
      </c>
      <c r="H46" s="20" t="s">
        <v>229</v>
      </c>
      <c r="I46" s="54" t="n">
        <v>0.73</v>
      </c>
      <c r="J46" s="19" t="s">
        <v>196</v>
      </c>
    </row>
    <row r="47" customFormat="false" ht="15" hidden="false" customHeight="false" outlineLevel="0" collapsed="false">
      <c r="A47" s="14" t="s">
        <v>265</v>
      </c>
      <c r="B47" s="15" t="s">
        <v>266</v>
      </c>
      <c r="C47" s="14" t="s">
        <v>25</v>
      </c>
      <c r="D47" s="15" t="s">
        <v>153</v>
      </c>
      <c r="E47" s="15" t="s">
        <v>88</v>
      </c>
      <c r="F47" s="15" t="s">
        <v>228</v>
      </c>
      <c r="G47" s="45" t="n">
        <v>900.84</v>
      </c>
      <c r="H47" s="15" t="s">
        <v>216</v>
      </c>
      <c r="I47" s="46" t="n">
        <v>0.71</v>
      </c>
      <c r="J47" s="14" t="s">
        <v>196</v>
      </c>
    </row>
    <row r="48" customFormat="false" ht="15" hidden="false" customHeight="false" outlineLevel="0" collapsed="false">
      <c r="A48" s="19" t="s">
        <v>269</v>
      </c>
      <c r="B48" s="20" t="s">
        <v>270</v>
      </c>
      <c r="C48" s="19" t="s">
        <v>25</v>
      </c>
      <c r="D48" s="20" t="s">
        <v>33</v>
      </c>
      <c r="E48" s="20" t="s">
        <v>34</v>
      </c>
      <c r="F48" s="20" t="s">
        <v>206</v>
      </c>
      <c r="G48" s="53" t="n">
        <v>1857.17</v>
      </c>
      <c r="H48" s="20" t="s">
        <v>223</v>
      </c>
      <c r="I48" s="54" t="n">
        <v>0.43</v>
      </c>
      <c r="J48" s="19" t="s">
        <v>196</v>
      </c>
    </row>
    <row r="49" customFormat="false" ht="15" hidden="false" customHeight="false" outlineLevel="0" collapsed="false">
      <c r="A49" s="14" t="s">
        <v>274</v>
      </c>
      <c r="B49" s="15" t="s">
        <v>275</v>
      </c>
      <c r="C49" s="14" t="s">
        <v>25</v>
      </c>
      <c r="D49" s="15" t="s">
        <v>95</v>
      </c>
      <c r="E49" s="15" t="s">
        <v>69</v>
      </c>
      <c r="F49" s="15" t="s">
        <v>235</v>
      </c>
      <c r="G49" s="45" t="n">
        <v>2713.4</v>
      </c>
      <c r="H49" s="15" t="s">
        <v>46</v>
      </c>
      <c r="I49" s="46" t="n">
        <v>0.3</v>
      </c>
      <c r="J49" s="14" t="s">
        <v>196</v>
      </c>
    </row>
    <row r="50" customFormat="false" ht="15" hidden="false" customHeight="false" outlineLevel="0" collapsed="false">
      <c r="A50" s="19" t="s">
        <v>277</v>
      </c>
      <c r="B50" s="20" t="s">
        <v>278</v>
      </c>
      <c r="C50" s="19" t="s">
        <v>25</v>
      </c>
      <c r="D50" s="20" t="s">
        <v>112</v>
      </c>
      <c r="E50" s="20" t="s">
        <v>101</v>
      </c>
      <c r="F50" s="20" t="s">
        <v>228</v>
      </c>
      <c r="G50" s="53" t="n">
        <v>859.81</v>
      </c>
      <c r="H50" s="20" t="s">
        <v>200</v>
      </c>
      <c r="I50" s="54" t="n">
        <v>0.39</v>
      </c>
      <c r="J50" s="19" t="s">
        <v>196</v>
      </c>
    </row>
    <row r="51" customFormat="false" ht="15" hidden="false" customHeight="false" outlineLevel="0" collapsed="false">
      <c r="A51" s="14" t="s">
        <v>281</v>
      </c>
      <c r="B51" s="15" t="s">
        <v>282</v>
      </c>
      <c r="C51" s="14" t="s">
        <v>25</v>
      </c>
      <c r="D51" s="15" t="s">
        <v>81</v>
      </c>
      <c r="E51" s="15" t="s">
        <v>69</v>
      </c>
      <c r="F51" s="15" t="s">
        <v>199</v>
      </c>
      <c r="G51" s="45" t="n">
        <v>2722.8</v>
      </c>
      <c r="H51" s="15" t="s">
        <v>46</v>
      </c>
      <c r="I51" s="46" t="n">
        <v>0.4</v>
      </c>
      <c r="J51" s="14" t="s">
        <v>196</v>
      </c>
    </row>
    <row r="52" customFormat="false" ht="15" hidden="false" customHeight="false" outlineLevel="0" collapsed="false">
      <c r="A52" s="19" t="s">
        <v>285</v>
      </c>
      <c r="B52" s="20" t="s">
        <v>286</v>
      </c>
      <c r="C52" s="19" t="s">
        <v>25</v>
      </c>
      <c r="D52" s="20" t="s">
        <v>170</v>
      </c>
      <c r="E52" s="20" t="s">
        <v>88</v>
      </c>
      <c r="F52" s="20" t="s">
        <v>199</v>
      </c>
      <c r="G52" s="53" t="n">
        <v>2014.37</v>
      </c>
      <c r="H52" s="20" t="s">
        <v>229</v>
      </c>
      <c r="I52" s="54" t="n">
        <v>0.33</v>
      </c>
      <c r="J52" s="19" t="s">
        <v>196</v>
      </c>
    </row>
    <row r="53" customFormat="false" ht="15" hidden="false" customHeight="false" outlineLevel="0" collapsed="false">
      <c r="A53" s="24" t="s">
        <v>289</v>
      </c>
      <c r="B53" s="25" t="s">
        <v>290</v>
      </c>
      <c r="C53" s="24" t="s">
        <v>25</v>
      </c>
      <c r="D53" s="25" t="s">
        <v>33</v>
      </c>
      <c r="E53" s="25" t="s">
        <v>34</v>
      </c>
      <c r="F53" s="25" t="s">
        <v>294</v>
      </c>
      <c r="G53" s="47" t="n">
        <v>1411.97</v>
      </c>
      <c r="H53" s="25" t="s">
        <v>229</v>
      </c>
      <c r="I53" s="48" t="n">
        <v>0.13</v>
      </c>
      <c r="J53" s="24" t="s">
        <v>292</v>
      </c>
    </row>
    <row r="54" customFormat="false" ht="15" hidden="false" customHeight="false" outlineLevel="0" collapsed="false">
      <c r="A54" s="28" t="s">
        <v>295</v>
      </c>
      <c r="B54" s="29" t="s">
        <v>296</v>
      </c>
      <c r="C54" s="28" t="s">
        <v>25</v>
      </c>
      <c r="D54" s="29" t="s">
        <v>170</v>
      </c>
      <c r="E54" s="29" t="s">
        <v>61</v>
      </c>
      <c r="F54" s="29" t="s">
        <v>294</v>
      </c>
      <c r="G54" s="55" t="n">
        <v>732.67</v>
      </c>
      <c r="H54" s="29" t="s">
        <v>229</v>
      </c>
      <c r="I54" s="56" t="n">
        <v>0.08</v>
      </c>
      <c r="J54" s="28" t="s">
        <v>292</v>
      </c>
    </row>
    <row r="55" customFormat="false" ht="15" hidden="false" customHeight="false" outlineLevel="0" collapsed="false">
      <c r="A55" s="24" t="s">
        <v>299</v>
      </c>
      <c r="B55" s="25" t="s">
        <v>300</v>
      </c>
      <c r="C55" s="24" t="s">
        <v>25</v>
      </c>
      <c r="D55" s="25" t="s">
        <v>118</v>
      </c>
      <c r="E55" s="25" t="s">
        <v>34</v>
      </c>
      <c r="F55" s="25" t="s">
        <v>222</v>
      </c>
      <c r="G55" s="47" t="n">
        <v>898.41</v>
      </c>
      <c r="H55" s="25" t="s">
        <v>303</v>
      </c>
      <c r="I55" s="48" t="n">
        <v>0.15</v>
      </c>
      <c r="J55" s="24" t="s">
        <v>292</v>
      </c>
    </row>
    <row r="56" customFormat="false" ht="15" hidden="false" customHeight="false" outlineLevel="0" collapsed="false">
      <c r="A56" s="28" t="s">
        <v>304</v>
      </c>
      <c r="B56" s="29" t="s">
        <v>305</v>
      </c>
      <c r="C56" s="28" t="s">
        <v>25</v>
      </c>
      <c r="D56" s="29" t="s">
        <v>112</v>
      </c>
      <c r="E56" s="29" t="s">
        <v>45</v>
      </c>
      <c r="F56" s="29" t="s">
        <v>308</v>
      </c>
      <c r="G56" s="55" t="n">
        <v>1202.03</v>
      </c>
      <c r="H56" s="29" t="s">
        <v>303</v>
      </c>
      <c r="I56" s="56" t="n">
        <v>0.07</v>
      </c>
      <c r="J56" s="28" t="s">
        <v>292</v>
      </c>
    </row>
    <row r="57" customFormat="false" ht="15" hidden="false" customHeight="false" outlineLevel="0" collapsed="false">
      <c r="A57" s="24" t="s">
        <v>309</v>
      </c>
      <c r="B57" s="25" t="s">
        <v>310</v>
      </c>
      <c r="C57" s="24" t="s">
        <v>25</v>
      </c>
      <c r="D57" s="25" t="s">
        <v>68</v>
      </c>
      <c r="E57" s="25" t="s">
        <v>82</v>
      </c>
      <c r="F57" s="25" t="s">
        <v>308</v>
      </c>
      <c r="G57" s="47" t="n">
        <v>422.87</v>
      </c>
      <c r="H57" s="25" t="s">
        <v>313</v>
      </c>
      <c r="I57" s="48" t="n">
        <v>0.15</v>
      </c>
      <c r="J57" s="24" t="s">
        <v>292</v>
      </c>
    </row>
    <row r="58" customFormat="false" ht="15" hidden="false" customHeight="false" outlineLevel="0" collapsed="false">
      <c r="A58" s="10" t="s">
        <v>314</v>
      </c>
      <c r="B58" s="11" t="s">
        <v>315</v>
      </c>
      <c r="C58" s="10" t="s">
        <v>316</v>
      </c>
      <c r="D58" s="11" t="s">
        <v>319</v>
      </c>
      <c r="E58" s="11" t="s">
        <v>320</v>
      </c>
      <c r="F58" s="11" t="s">
        <v>35</v>
      </c>
      <c r="G58" s="51" t="n">
        <v>234.18</v>
      </c>
      <c r="H58" s="11" t="s">
        <v>36</v>
      </c>
      <c r="I58" s="52" t="n">
        <v>1</v>
      </c>
      <c r="J58" s="10" t="s">
        <v>29</v>
      </c>
    </row>
    <row r="59" customFormat="false" ht="15" hidden="false" customHeight="false" outlineLevel="0" collapsed="false">
      <c r="A59" s="3" t="s">
        <v>321</v>
      </c>
      <c r="B59" s="4" t="s">
        <v>322</v>
      </c>
      <c r="C59" s="3" t="s">
        <v>316</v>
      </c>
      <c r="D59" s="4" t="s">
        <v>319</v>
      </c>
      <c r="E59" s="4" t="s">
        <v>320</v>
      </c>
      <c r="F59" s="4" t="s">
        <v>35</v>
      </c>
      <c r="G59" s="49" t="n">
        <v>1535.55</v>
      </c>
      <c r="H59" s="4" t="s">
        <v>36</v>
      </c>
      <c r="I59" s="50" t="n">
        <v>1</v>
      </c>
      <c r="J59" s="3" t="s">
        <v>29</v>
      </c>
    </row>
    <row r="60" customFormat="false" ht="15" hidden="false" customHeight="false" outlineLevel="0" collapsed="false">
      <c r="A60" s="10" t="s">
        <v>324</v>
      </c>
      <c r="B60" s="11" t="s">
        <v>325</v>
      </c>
      <c r="C60" s="10" t="s">
        <v>316</v>
      </c>
      <c r="D60" s="11" t="s">
        <v>328</v>
      </c>
      <c r="E60" s="11" t="s">
        <v>320</v>
      </c>
      <c r="F60" s="11" t="s">
        <v>35</v>
      </c>
      <c r="G60" s="51" t="n">
        <v>863.71</v>
      </c>
      <c r="H60" s="11" t="s">
        <v>36</v>
      </c>
      <c r="I60" s="52" t="n">
        <v>1</v>
      </c>
      <c r="J60" s="10" t="s">
        <v>29</v>
      </c>
    </row>
    <row r="61" customFormat="false" ht="15" hidden="false" customHeight="false" outlineLevel="0" collapsed="false">
      <c r="A61" s="3" t="s">
        <v>329</v>
      </c>
      <c r="B61" s="4" t="s">
        <v>330</v>
      </c>
      <c r="C61" s="3" t="s">
        <v>316</v>
      </c>
      <c r="D61" s="4" t="s">
        <v>333</v>
      </c>
      <c r="E61" s="4" t="s">
        <v>334</v>
      </c>
      <c r="F61" s="4" t="s">
        <v>35</v>
      </c>
      <c r="G61" s="49" t="n">
        <v>257.69</v>
      </c>
      <c r="H61" s="4" t="s">
        <v>46</v>
      </c>
      <c r="I61" s="50" t="n">
        <v>1</v>
      </c>
      <c r="J61" s="3" t="s">
        <v>29</v>
      </c>
    </row>
    <row r="62" customFormat="false" ht="15" hidden="false" customHeight="false" outlineLevel="0" collapsed="false">
      <c r="A62" s="10" t="s">
        <v>335</v>
      </c>
      <c r="B62" s="11" t="s">
        <v>336</v>
      </c>
      <c r="C62" s="10" t="s">
        <v>316</v>
      </c>
      <c r="D62" s="11" t="s">
        <v>339</v>
      </c>
      <c r="E62" s="11" t="s">
        <v>340</v>
      </c>
      <c r="F62" s="11" t="s">
        <v>35</v>
      </c>
      <c r="G62" s="51" t="n">
        <v>860.43</v>
      </c>
      <c r="H62" s="11" t="s">
        <v>36</v>
      </c>
      <c r="I62" s="52" t="n">
        <v>1</v>
      </c>
      <c r="J62" s="10" t="s">
        <v>29</v>
      </c>
    </row>
    <row r="63" customFormat="false" ht="15" hidden="false" customHeight="false" outlineLevel="0" collapsed="false">
      <c r="A63" s="3" t="s">
        <v>341</v>
      </c>
      <c r="B63" s="4" t="s">
        <v>342</v>
      </c>
      <c r="C63" s="3" t="s">
        <v>316</v>
      </c>
      <c r="D63" s="4" t="s">
        <v>319</v>
      </c>
      <c r="E63" s="4" t="s">
        <v>345</v>
      </c>
      <c r="F63" s="4" t="s">
        <v>35</v>
      </c>
      <c r="G63" s="49" t="n">
        <v>420.43</v>
      </c>
      <c r="H63" s="4" t="s">
        <v>46</v>
      </c>
      <c r="I63" s="50" t="n">
        <v>1</v>
      </c>
      <c r="J63" s="3" t="s">
        <v>29</v>
      </c>
    </row>
    <row r="64" customFormat="false" ht="15" hidden="false" customHeight="false" outlineLevel="0" collapsed="false">
      <c r="A64" s="10" t="s">
        <v>346</v>
      </c>
      <c r="B64" s="11" t="s">
        <v>347</v>
      </c>
      <c r="C64" s="10" t="s">
        <v>316</v>
      </c>
      <c r="D64" s="11" t="s">
        <v>350</v>
      </c>
      <c r="E64" s="11" t="s">
        <v>340</v>
      </c>
      <c r="F64" s="11" t="s">
        <v>35</v>
      </c>
      <c r="G64" s="51" t="n">
        <v>686.02</v>
      </c>
      <c r="H64" s="11" t="s">
        <v>36</v>
      </c>
      <c r="I64" s="52" t="n">
        <v>1</v>
      </c>
      <c r="J64" s="10" t="s">
        <v>29</v>
      </c>
    </row>
    <row r="65" customFormat="false" ht="15" hidden="false" customHeight="false" outlineLevel="0" collapsed="false">
      <c r="A65" s="3" t="s">
        <v>351</v>
      </c>
      <c r="B65" s="4" t="s">
        <v>352</v>
      </c>
      <c r="C65" s="3" t="s">
        <v>316</v>
      </c>
      <c r="D65" s="4" t="s">
        <v>333</v>
      </c>
      <c r="E65" s="4" t="s">
        <v>340</v>
      </c>
      <c r="F65" s="4" t="s">
        <v>35</v>
      </c>
      <c r="G65" s="49" t="n">
        <v>1078.56</v>
      </c>
      <c r="H65" s="4" t="s">
        <v>46</v>
      </c>
      <c r="I65" s="50" t="n">
        <v>1</v>
      </c>
      <c r="J65" s="3" t="s">
        <v>29</v>
      </c>
    </row>
    <row r="66" customFormat="false" ht="15" hidden="false" customHeight="false" outlineLevel="0" collapsed="false">
      <c r="A66" s="10" t="s">
        <v>355</v>
      </c>
      <c r="B66" s="11" t="s">
        <v>356</v>
      </c>
      <c r="C66" s="10" t="s">
        <v>316</v>
      </c>
      <c r="D66" s="11" t="s">
        <v>359</v>
      </c>
      <c r="E66" s="11" t="s">
        <v>320</v>
      </c>
      <c r="F66" s="11" t="s">
        <v>35</v>
      </c>
      <c r="G66" s="51" t="n">
        <v>1012.79</v>
      </c>
      <c r="H66" s="11" t="s">
        <v>46</v>
      </c>
      <c r="I66" s="52" t="n">
        <v>1</v>
      </c>
      <c r="J66" s="10" t="s">
        <v>29</v>
      </c>
    </row>
    <row r="67" customFormat="false" ht="15" hidden="false" customHeight="false" outlineLevel="0" collapsed="false">
      <c r="A67" s="3" t="s">
        <v>360</v>
      </c>
      <c r="B67" s="4" t="s">
        <v>361</v>
      </c>
      <c r="C67" s="3" t="s">
        <v>316</v>
      </c>
      <c r="D67" s="4" t="s">
        <v>333</v>
      </c>
      <c r="E67" s="4" t="s">
        <v>334</v>
      </c>
      <c r="F67" s="4" t="s">
        <v>35</v>
      </c>
      <c r="G67" s="49" t="n">
        <v>275.71</v>
      </c>
      <c r="H67" s="4" t="s">
        <v>36</v>
      </c>
      <c r="I67" s="50" t="n">
        <v>1</v>
      </c>
      <c r="J67" s="3" t="s">
        <v>29</v>
      </c>
    </row>
    <row r="68" customFormat="false" ht="15" hidden="false" customHeight="false" outlineLevel="0" collapsed="false">
      <c r="A68" s="19" t="s">
        <v>364</v>
      </c>
      <c r="B68" s="20" t="s">
        <v>365</v>
      </c>
      <c r="C68" s="19" t="s">
        <v>316</v>
      </c>
      <c r="D68" s="20" t="s">
        <v>359</v>
      </c>
      <c r="E68" s="20" t="s">
        <v>340</v>
      </c>
      <c r="F68" s="20" t="s">
        <v>235</v>
      </c>
      <c r="G68" s="53" t="n">
        <v>710.64</v>
      </c>
      <c r="H68" s="20" t="s">
        <v>223</v>
      </c>
      <c r="I68" s="54" t="n">
        <v>0.64</v>
      </c>
      <c r="J68" s="19" t="s">
        <v>196</v>
      </c>
    </row>
    <row r="69" customFormat="false" ht="15" hidden="false" customHeight="false" outlineLevel="0" collapsed="false">
      <c r="A69" s="14" t="s">
        <v>368</v>
      </c>
      <c r="B69" s="15" t="s">
        <v>369</v>
      </c>
      <c r="C69" s="14" t="s">
        <v>316</v>
      </c>
      <c r="D69" s="15" t="s">
        <v>339</v>
      </c>
      <c r="E69" s="15" t="s">
        <v>372</v>
      </c>
      <c r="F69" s="15" t="s">
        <v>206</v>
      </c>
      <c r="G69" s="45" t="n">
        <v>783.05</v>
      </c>
      <c r="H69" s="15" t="s">
        <v>223</v>
      </c>
      <c r="I69" s="46" t="n">
        <v>0.78</v>
      </c>
      <c r="J69" s="14" t="s">
        <v>196</v>
      </c>
    </row>
    <row r="70" customFormat="false" ht="15" hidden="false" customHeight="false" outlineLevel="0" collapsed="false">
      <c r="A70" s="19" t="s">
        <v>374</v>
      </c>
      <c r="B70" s="20" t="s">
        <v>375</v>
      </c>
      <c r="C70" s="19" t="s">
        <v>316</v>
      </c>
      <c r="D70" s="20" t="s">
        <v>377</v>
      </c>
      <c r="E70" s="20" t="s">
        <v>320</v>
      </c>
      <c r="F70" s="20" t="s">
        <v>235</v>
      </c>
      <c r="G70" s="53" t="n">
        <v>856.27</v>
      </c>
      <c r="H70" s="20" t="s">
        <v>46</v>
      </c>
      <c r="I70" s="54" t="n">
        <v>0.83</v>
      </c>
      <c r="J70" s="19" t="s">
        <v>196</v>
      </c>
    </row>
    <row r="71" customFormat="false" ht="15" hidden="false" customHeight="false" outlineLevel="0" collapsed="false">
      <c r="A71" s="14" t="s">
        <v>378</v>
      </c>
      <c r="B71" s="15" t="s">
        <v>379</v>
      </c>
      <c r="C71" s="14" t="s">
        <v>316</v>
      </c>
      <c r="D71" s="15" t="s">
        <v>381</v>
      </c>
      <c r="E71" s="15" t="s">
        <v>382</v>
      </c>
      <c r="F71" s="15" t="s">
        <v>228</v>
      </c>
      <c r="G71" s="45" t="n">
        <v>818.96</v>
      </c>
      <c r="H71" s="15" t="s">
        <v>223</v>
      </c>
      <c r="I71" s="46" t="n">
        <v>0.5</v>
      </c>
      <c r="J71" s="14" t="s">
        <v>196</v>
      </c>
    </row>
    <row r="72" customFormat="false" ht="15" hidden="false" customHeight="false" outlineLevel="0" collapsed="false">
      <c r="A72" s="19" t="s">
        <v>383</v>
      </c>
      <c r="B72" s="20" t="s">
        <v>384</v>
      </c>
      <c r="C72" s="19" t="s">
        <v>316</v>
      </c>
      <c r="D72" s="20" t="s">
        <v>350</v>
      </c>
      <c r="E72" s="20" t="s">
        <v>334</v>
      </c>
      <c r="F72" s="20" t="s">
        <v>222</v>
      </c>
      <c r="G72" s="53" t="n">
        <v>248.58</v>
      </c>
      <c r="H72" s="20" t="s">
        <v>223</v>
      </c>
      <c r="I72" s="54" t="n">
        <v>0.57</v>
      </c>
      <c r="J72" s="19" t="s">
        <v>196</v>
      </c>
    </row>
    <row r="73" customFormat="false" ht="15" hidden="false" customHeight="false" outlineLevel="0" collapsed="false">
      <c r="A73" s="14" t="s">
        <v>387</v>
      </c>
      <c r="B73" s="15" t="s">
        <v>388</v>
      </c>
      <c r="C73" s="14" t="s">
        <v>316</v>
      </c>
      <c r="D73" s="15" t="s">
        <v>350</v>
      </c>
      <c r="E73" s="15" t="s">
        <v>372</v>
      </c>
      <c r="F73" s="15" t="s">
        <v>206</v>
      </c>
      <c r="G73" s="45" t="n">
        <v>489.91</v>
      </c>
      <c r="H73" s="15" t="s">
        <v>223</v>
      </c>
      <c r="I73" s="46" t="n">
        <v>0.37</v>
      </c>
      <c r="J73" s="14" t="s">
        <v>196</v>
      </c>
    </row>
    <row r="74" customFormat="false" ht="15" hidden="false" customHeight="false" outlineLevel="0" collapsed="false">
      <c r="A74" s="19" t="s">
        <v>391</v>
      </c>
      <c r="B74" s="20" t="s">
        <v>392</v>
      </c>
      <c r="C74" s="19" t="s">
        <v>316</v>
      </c>
      <c r="D74" s="20" t="s">
        <v>333</v>
      </c>
      <c r="E74" s="20" t="s">
        <v>372</v>
      </c>
      <c r="F74" s="20" t="s">
        <v>235</v>
      </c>
      <c r="G74" s="53" t="n">
        <v>274.92</v>
      </c>
      <c r="H74" s="20" t="s">
        <v>229</v>
      </c>
      <c r="I74" s="54" t="n">
        <v>0.39</v>
      </c>
      <c r="J74" s="19" t="s">
        <v>196</v>
      </c>
    </row>
    <row r="75" customFormat="false" ht="15" hidden="false" customHeight="false" outlineLevel="0" collapsed="false">
      <c r="A75" s="24" t="s">
        <v>395</v>
      </c>
      <c r="B75" s="25" t="s">
        <v>396</v>
      </c>
      <c r="C75" s="24" t="s">
        <v>316</v>
      </c>
      <c r="D75" s="25" t="s">
        <v>319</v>
      </c>
      <c r="E75" s="25" t="s">
        <v>372</v>
      </c>
      <c r="F75" s="25" t="s">
        <v>222</v>
      </c>
      <c r="G75" s="47" t="n">
        <v>1293.27</v>
      </c>
      <c r="H75" s="25" t="s">
        <v>303</v>
      </c>
      <c r="I75" s="48" t="n">
        <v>0.12</v>
      </c>
      <c r="J75" s="24" t="s">
        <v>292</v>
      </c>
    </row>
    <row r="76" customFormat="false" ht="15" hidden="false" customHeight="false" outlineLevel="0" collapsed="false">
      <c r="A76" s="28" t="s">
        <v>399</v>
      </c>
      <c r="B76" s="29" t="s">
        <v>400</v>
      </c>
      <c r="C76" s="28" t="s">
        <v>316</v>
      </c>
      <c r="D76" s="29" t="s">
        <v>328</v>
      </c>
      <c r="E76" s="29" t="s">
        <v>372</v>
      </c>
      <c r="F76" s="29" t="s">
        <v>222</v>
      </c>
      <c r="G76" s="55" t="n">
        <v>1551.94</v>
      </c>
      <c r="H76" s="29" t="s">
        <v>313</v>
      </c>
      <c r="I76" s="56" t="n">
        <v>0.01</v>
      </c>
      <c r="J76" s="28" t="s">
        <v>292</v>
      </c>
    </row>
    <row r="77" customFormat="false" ht="15" hidden="false" customHeight="false" outlineLevel="0" collapsed="false">
      <c r="A77" s="24" t="s">
        <v>403</v>
      </c>
      <c r="B77" s="25" t="s">
        <v>404</v>
      </c>
      <c r="C77" s="24" t="s">
        <v>316</v>
      </c>
      <c r="D77" s="25" t="s">
        <v>339</v>
      </c>
      <c r="E77" s="25" t="s">
        <v>372</v>
      </c>
      <c r="F77" s="25" t="s">
        <v>222</v>
      </c>
      <c r="G77" s="47" t="n">
        <v>874.79</v>
      </c>
      <c r="H77" s="25" t="s">
        <v>303</v>
      </c>
      <c r="I77" s="48" t="n">
        <v>0.04</v>
      </c>
      <c r="J77" s="24" t="s">
        <v>292</v>
      </c>
    </row>
  </sheetData>
  <autoFilter ref="A2:J2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2026-06-09T17:28:21Z</dcterms:created>
  <dc:creator>openpyxl</dc:creator>
  <dc:description/>
  <dc:language>en-US</dc:language>
  <cp:lastModifiedBy/>
  <dcterms:modified xsi:type="dcterms:W3CDTF">2026-06-09T17:28:21Z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